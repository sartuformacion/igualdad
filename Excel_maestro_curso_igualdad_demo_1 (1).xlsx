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ALUMNOS" sheetId="3" state="visible" r:id="rId3"/>
    <sheet xmlns:r="http://schemas.openxmlformats.org/officeDocument/2006/relationships" name="MODULOS" sheetId="4" state="visible" r:id="rId4"/>
    <sheet xmlns:r="http://schemas.openxmlformats.org/officeDocument/2006/relationships" name="LECCIONES" sheetId="5" state="visible" r:id="rId5"/>
    <sheet xmlns:r="http://schemas.openxmlformats.org/officeDocument/2006/relationships" name="MATERIALES" sheetId="6" state="visible" r:id="rId6"/>
    <sheet xmlns:r="http://schemas.openxmlformats.org/officeDocument/2006/relationships" name="TAREAS" sheetId="7" state="visible" r:id="rId7"/>
    <sheet xmlns:r="http://schemas.openxmlformats.org/officeDocument/2006/relationships" name="PROGRESO" sheetId="8" state="visible" r:id="rId8"/>
    <sheet xmlns:r="http://schemas.openxmlformats.org/officeDocument/2006/relationships" name="CALENDARIO" sheetId="9" state="visible" r:id="rId9"/>
    <sheet xmlns:r="http://schemas.openxmlformats.org/officeDocument/2006/relationships" name="AVISOS" sheetId="10" state="visible" r:id="rId10"/>
    <sheet xmlns:r="http://schemas.openxmlformats.org/officeDocument/2006/relationships" name="LECTURA_AVISOS" sheetId="11" state="visible" r:id="rId11"/>
    <sheet xmlns:r="http://schemas.openxmlformats.org/officeDocument/2006/relationships" name="EVALUACIONES_MODULOS" sheetId="12" state="visible" r:id="rId12"/>
    <sheet xmlns:r="http://schemas.openxmlformats.org/officeDocument/2006/relationships" name="ENTREGAS" sheetId="13" state="visible" r:id="rId13"/>
    <sheet xmlns:r="http://schemas.openxmlformats.org/officeDocument/2006/relationships" name="DISPOSITIVOS_PUSH" sheetId="14" state="visible" r:id="rId14"/>
    <sheet xmlns:r="http://schemas.openxmlformats.org/officeDocument/2006/relationships" name="REGISTRO_CAMBIOS" sheetId="15" state="visible" r:id="rId15"/>
    <sheet xmlns:r="http://schemas.openxmlformats.org/officeDocument/2006/relationships" name="ASISTENCIA" sheetId="16" state="visible" r:id="rId16"/>
  </sheets>
  <definedNames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0">
    <font>
      <name val="Carlito"/>
      <sz val="11"/>
    </font>
    <font>
      <name val="Arial"/>
      <b val="1"/>
      <color rgb="FF202026"/>
      <sz val="16"/>
    </font>
    <font>
      <name val="Arial"/>
      <i val="1"/>
      <color rgb="FF6D6972"/>
      <sz val="10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5B2F78"/>
      <sz val="14"/>
    </font>
    <font>
      <name val="Arial"/>
      <sz val="10"/>
    </font>
    <font>
      <name val="Arial"/>
      <color rgb="FF202026"/>
      <sz val="10"/>
    </font>
    <font>
      <name val="Arial"/>
      <b val="1"/>
      <color rgb="FFFFFFFF"/>
      <sz val="10"/>
    </font>
    <font>
      <name val="Arial"/>
      <color rgb="FF202026"/>
      <sz val="11"/>
    </font>
  </fonts>
  <fills count="6">
    <fill>
      <patternFill/>
    </fill>
    <fill>
      <patternFill patternType="gray125"/>
    </fill>
    <fill>
      <patternFill patternType="solid">
        <fgColor rgb="FF5B2F78"/>
      </patternFill>
    </fill>
    <fill>
      <patternFill patternType="solid">
        <fgColor rgb="FFD46657"/>
      </patternFill>
    </fill>
    <fill>
      <patternFill patternType="solid">
        <fgColor rgb="FFFFFDFA"/>
      </patternFill>
    </fill>
    <fill>
      <patternFill patternType="solid">
        <fgColor rgb="FF5B2F78"/>
      </patternFill>
    </fill>
  </fills>
  <borders count="8">
    <border/>
    <border>
      <bottom style="thin">
        <color rgb="FF5B2F78"/>
      </bottom>
    </border>
    <border>
      <bottom style="thin">
        <color rgb="FFDED9D2"/>
      </bottom>
    </border>
    <border>
      <top style="thin">
        <color rgb="FFDED9D2"/>
      </top>
      <bottom style="thin">
        <color rgb="FFDED9D2"/>
      </bottom>
    </border>
    <border>
      <top style="thin">
        <color rgb="FFDED9D2"/>
      </top>
    </border>
    <border>
      <right style="thin">
        <color rgb="FF8C68A1"/>
      </right>
    </border>
    <border>
      <left style="thin">
        <color rgb="FF8C68A1"/>
      </left>
      <right style="thin">
        <color rgb="FF8C68A1"/>
      </right>
    </border>
    <border>
      <left style="thin">
        <color rgb="FF8C68A1"/>
      </left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9" fontId="5" fillId="0" borderId="3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2" pivotButton="0" quotePrefix="0" xfId="0"/>
    <xf numFmtId="0" fontId="6" fillId="4" borderId="3" pivotButton="0" quotePrefix="0" xfId="0"/>
    <xf numFmtId="0" fontId="6" fillId="4" borderId="4" pivotButton="0" quotePrefix="0" xfId="0"/>
    <xf numFmtId="9" fontId="6" fillId="4" borderId="3" pivotButton="0" quotePrefix="0" xfId="0"/>
    <xf numFmtId="164" fontId="6" fillId="4" borderId="3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  <xf numFmtId="9" fontId="6" fillId="4" borderId="3" applyAlignment="1" pivotButton="0" quotePrefix="0" xfId="0">
      <alignment vertical="center"/>
    </xf>
    <xf numFmtId="9" fontId="5" fillId="0" borderId="3" applyAlignment="1" pivotButton="0" quotePrefix="0" xfId="0">
      <alignment vertical="center"/>
    </xf>
    <xf numFmtId="164" fontId="6" fillId="4" borderId="3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2" borderId="5" applyAlignment="1" pivotButton="0" quotePrefix="0" xfId="0">
      <alignment vertical="center"/>
    </xf>
    <xf numFmtId="0" fontId="8" fillId="2" borderId="6" applyAlignment="1" pivotButton="0" quotePrefix="0" xfId="0">
      <alignment vertical="center"/>
    </xf>
    <xf numFmtId="0" fontId="8" fillId="2" borderId="7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8" fillId="2" borderId="6" applyAlignment="1" pivotButton="0" quotePrefix="0" xfId="0">
      <alignment vertical="center" wrapText="1"/>
    </xf>
    <xf numFmtId="0" fontId="8" fillId="2" borderId="7" applyAlignment="1" pivotButton="0" quotePrefix="0" xfId="0">
      <alignment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165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164" fontId="7" fillId="0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9" fontId="7" fillId="0" borderId="2" applyAlignment="1" pivotButton="0" quotePrefix="0" xfId="0">
      <alignment vertical="center"/>
    </xf>
    <xf numFmtId="9" fontId="7" fillId="0" borderId="3" applyAlignment="1" pivotButton="0" quotePrefix="0" xfId="0">
      <alignment vertical="center"/>
    </xf>
    <xf numFmtId="9" fontId="7" fillId="0" borderId="4" applyAlignment="1" pivotButton="0" quotePrefix="0" xfId="0">
      <alignment vertical="center"/>
    </xf>
    <xf numFmtId="0" fontId="0" fillId="5" borderId="0" pivotButton="0" quotePrefix="0" xfId="0"/>
    <xf numFmtId="0" fontId="8" fillId="5" borderId="0" pivotButton="0" quotePrefix="0" xfId="0"/>
    <xf numFmtId="0" fontId="8" fillId="5" borderId="5" pivotButton="0" quotePrefix="0" xfId="0"/>
    <xf numFmtId="0" fontId="8" fillId="5" borderId="6" pivotButton="0" quotePrefix="0" xfId="0"/>
    <xf numFmtId="0" fontId="8" fillId="5" borderId="7" pivotButton="0" quotePrefix="0" xfId="0"/>
    <xf numFmtId="0" fontId="8" fillId="5" borderId="5" applyAlignment="1" pivotButton="0" quotePrefix="0" xfId="0">
      <alignment wrapText="1"/>
    </xf>
    <xf numFmtId="0" fontId="8" fillId="5" borderId="6" applyAlignment="1" pivotButton="0" quotePrefix="0" xfId="0">
      <alignment wrapText="1"/>
    </xf>
    <xf numFmtId="0" fontId="8" fillId="5" borderId="7" applyAlignment="1" pivotButton="0" quotePrefix="0" xfId="0">
      <alignment wrapText="1"/>
    </xf>
    <xf numFmtId="0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horizontal="center" wrapText="1"/>
    </xf>
    <xf numFmtId="0" fontId="8" fillId="5" borderId="7" applyAlignment="1" pivotButton="0" quotePrefix="0" xfId="0">
      <alignment horizont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0" fontId="7" fillId="0" borderId="2" pivotButton="0" quotePrefix="0" xfId="0"/>
    <xf numFmtId="0" fontId="7" fillId="0" borderId="4" pivotButton="0" quotePrefix="0" xfId="0"/>
    <xf numFmtId="0" fontId="9" fillId="0" borderId="0" pivotButton="0" quotePrefix="0" xfId="0"/>
    <xf numFmtId="0" fontId="9" fillId="0" borderId="2" pivotButton="0" quotePrefix="0" xfId="0"/>
    <xf numFmtId="0" fontId="9" fillId="0" borderId="4" pivotButton="0" quotePrefix="0" xfId="0"/>
    <xf numFmtId="9" fontId="6" fillId="4" borderId="3" applyAlignment="1" pivotButton="0" quotePrefix="0" xfId="0">
      <alignment vertical="center"/>
    </xf>
    <xf numFmtId="9" fontId="5" fillId="0" borderId="3" applyAlignment="1" pivotButton="0" quotePrefix="0" xfId="0">
      <alignment vertical="center"/>
    </xf>
    <xf numFmtId="164" fontId="6" fillId="4" borderId="3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9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9" fontId="7" fillId="0" borderId="3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9" fontId="7" fillId="0" borderId="4" applyAlignment="1" pivotButton="0" quotePrefix="0" xfId="0">
      <alignment vertical="center"/>
    </xf>
    <xf numFmtId="164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Configuracion" displayName="TblConfiguracion" ref="A5:C13" headerRowCount="1" totalsRowCount="0" totalsRowShown="0">
  <tableColumns count="3">
    <tableColumn id="1" name="CLAVE"/>
    <tableColumn id="2" name="VALOR"/>
    <tableColumn id="3" name="DESCRIPC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Alumnos" displayName="TblAlumnos" ref="A5:H6" headerRowCount="1" totalsRowCount="0" totalsRowShown="0">
  <tableColumns count="8">
    <tableColumn id="1" name="ID_ALUMNO"/>
    <tableColumn id="2" name="NOMBRE"/>
    <tableColumn id="3" name="APELLIDOS"/>
    <tableColumn id="4" name="CORREO"/>
    <tableColumn id="5" name="ESTADO"/>
    <tableColumn id="6" name="ROL"/>
    <tableColumn id="7" name="FECHA_ALTA"/>
    <tableColumn id="8" name="ULTIMO_ACCES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Modulos" displayName="TblModulos" ref="A5:H13" headerRowCount="1" totalsRowCount="0" totalsRowShown="0">
  <tableColumns count="8">
    <tableColumn id="1" name="ID_MODULO"/>
    <tableColumn id="2" name="ORDEN"/>
    <tableColumn id="3" name="TITULO"/>
    <tableColumn id="4" name="DESCRIPCION"/>
    <tableColumn id="5" name="FECHA_APERTURA"/>
    <tableColumn id="6" name="FECHA_CIERRE"/>
    <tableColumn id="7" name="ESTADO"/>
    <tableColumn id="8" name="DURACI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Lecciones" displayName="TblLecciones" ref="A5:H15" headerRowCount="1" totalsRowCount="0" totalsRowShown="0">
  <tableColumns count="8">
    <tableColumn id="1" name="ID_LECCION"/>
    <tableColumn id="2" name="ID_MODULO"/>
    <tableColumn id="3" name="ORDEN"/>
    <tableColumn id="4" name="TITULO"/>
    <tableColumn id="5" name="TIPO"/>
    <tableColumn id="6" name="MINUTOS"/>
    <tableColumn id="7" name="ENLACE"/>
    <tableColumn id="8" name="PUBLICAD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Materiales" displayName="TblMateriales" ref="A5:G9" headerRowCount="1" totalsRowCount="0" totalsRowShown="0">
  <tableColumns count="7">
    <tableColumn id="1" name="ID_MATERIAL"/>
    <tableColumn id="2" name="ID_MODULO"/>
    <tableColumn id="3" name="TITULO"/>
    <tableColumn id="4" name="TIPO"/>
    <tableColumn id="5" name="ENLACE"/>
    <tableColumn id="6" name="VISIBLE"/>
    <tableColumn id="7" name="ORDEN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blTareas" displayName="TblTareas" ref="A5:G6" headerRowCount="1" totalsRowCount="0" totalsRowShown="0">
  <tableColumns count="7">
    <tableColumn id="1" name="ID_TAREA"/>
    <tableColumn id="2" name="ID_MODULO"/>
    <tableColumn id="3" name="TITULO"/>
    <tableColumn id="4" name="DESCRIPCION"/>
    <tableColumn id="5" name="FECHA_LIMITE"/>
    <tableColumn id="6" name="ESTADO"/>
    <tableColumn id="7" name="OBLIGATORIA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blProgreso" displayName="TblProgreso" ref="A5:G13" headerRowCount="1" totalsRowCount="0" totalsRowShown="0">
  <tableColumns count="7">
    <tableColumn id="1" name="ID_PROGRESO"/>
    <tableColumn id="2" name="ID_ALUMNO"/>
    <tableColumn id="3" name="ID_MODULO"/>
    <tableColumn id="4" name="FECHA_COMPLETADO"/>
    <tableColumn id="5" name="ESTADO"/>
    <tableColumn id="6" name="PORCENTAJE"/>
    <tableColumn id="7" name="ULTIMA_ACTIVIDAD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blCalendario" displayName="TblCalendario" ref="A5:H9" headerRowCount="1" totalsRowCount="0" totalsRowShown="0">
  <tableColumns count="8">
    <tableColumn id="1" name="ID_EVENTO"/>
    <tableColumn id="2" name="TITULO"/>
    <tableColumn id="3" name="TIPO"/>
    <tableColumn id="4" name="FECHA_INICIO"/>
    <tableColumn id="5" name="FECHA_FIN"/>
    <tableColumn id="6" name="ID_MODULO"/>
    <tableColumn id="7" name="ENLACE"/>
    <tableColumn id="8" name="VISIBLE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blAvisos" displayName="TblAvisos" ref="A5:L7" headerRowCount="1" totalsRowCount="0" totalsRowShown="0">
  <tableColumns count="12">
    <tableColumn id="1" name="ID_AVISO"/>
    <tableColumn id="2" name="TITULO"/>
    <tableColumn id="3" name="MENSAJE"/>
    <tableColumn id="4" name="DESTINATARIOS"/>
    <tableColumn id="5" name="PRIORIDAD"/>
    <tableColumn id="6" name="FORMATO"/>
    <tableColumn id="7" name="PUBLICACION"/>
    <tableColumn id="8" name="CADUCIDAD"/>
    <tableColumn id="9" name="CONFIRMACION"/>
    <tableColumn id="10" name="REPETICION"/>
    <tableColumn id="11" name="ENLACE"/>
    <tableColumn id="12" name="ESTADO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TblLecturaAvisos" displayName="TblLecturaAvisos" ref="A5:F6" headerRowCount="1" totalsRowCount="0" totalsRowShown="0">
  <tableColumns count="6">
    <tableColumn id="1" name="ID_LECTURA"/>
    <tableColumn id="2" name="ID_AVISO"/>
    <tableColumn id="3" name="ID_ALUMNO"/>
    <tableColumn id="4" name="FECHA_VISTA"/>
    <tableColumn id="5" name="FECHA_CONFIRMACION"/>
    <tableColumn id="6" name="ESTADO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TblEvaluaciones" displayName="TblEvaluaciones" ref="A5:N6" headerRowCount="1" totalsRowCount="0" totalsRowShown="0">
  <tableColumns count="14">
    <tableColumn id="1" name="ID_EVALUACION"/>
    <tableColumn id="2" name="ID_MODULO"/>
    <tableColumn id="3" name="TOKEN_RESPUESTA"/>
    <tableColumn id="4" name="FECHA"/>
    <tableColumn id="5" name="CLARIDAD"/>
    <tableColumn id="6" name="UTILIDAD"/>
    <tableColumn id="7" name="MATERIALES"/>
    <tableColumn id="8" name="RITMO"/>
    <tableColumn id="9" name="PROFESORA"/>
    <tableColumn id="10" name="GENERAL"/>
    <tableColumn id="11" name="RECOMENDACION"/>
    <tableColumn id="12" name="MAS_UTIL"/>
    <tableColumn id="13" name="MEJORAS"/>
    <tableColumn id="14" name="COMENTARIO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blEntregas" displayName="TblEntregas" ref="A5:I6" headerRowCount="1" totalsRowCount="0" totalsRowShown="0">
  <tableColumns count="9">
    <tableColumn id="1" name="ID_ENTREGA"/>
    <tableColumn id="2" name="ID_TAREA"/>
    <tableColumn id="3" name="ID_ALUMNO"/>
    <tableColumn id="4" name="FECHA"/>
    <tableColumn id="5" name="TIPO"/>
    <tableColumn id="6" name="ENLACE_ARCHIVO"/>
    <tableColumn id="7" name="COMENTARIO"/>
    <tableColumn id="8" name="ESTADO"/>
    <tableColumn id="9" name="VERSION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TblDispositivosPush" displayName="TblDispositivosPush" ref="A5:G6" headerRowCount="1" totalsRowCount="0" totalsRowShown="0">
  <tableColumns count="7">
    <tableColumn id="1" name="ID_DISPOSITIVO"/>
    <tableColumn id="2" name="ID_ALUMNO"/>
    <tableColumn id="3" name="PLATAFORMA"/>
    <tableColumn id="4" name="FECHA_ALTA"/>
    <tableColumn id="5" name="ULTIMO_ENVIO"/>
    <tableColumn id="6" name="ACTIVO"/>
    <tableColumn id="7" name="TOKEN_DEMO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TblRegistroCambios" displayName="TblRegistroCambios" ref="A5:F7" headerRowCount="1" totalsRowCount="0" totalsRowShown="0">
  <tableColumns count="6">
    <tableColumn id="1" name="ID_CAMBIO"/>
    <tableColumn id="2" name="FECHA"/>
    <tableColumn id="3" name="ACTOR"/>
    <tableColumn id="4" name="INSTRUCCION"/>
    <tableColumn id="5" name="ACCION"/>
    <tableColumn id="6" name="RESULTADO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id="15" name="TblAsistencia" displayName="TblAsistencia" ref="A5:H7" headerRowCount="1" totalsRowCount="0" totalsRowShown="0">
  <tableColumns count="8">
    <tableColumn id="1" name="ID_REGISTRO"/>
    <tableColumn id="2" name="ID_ALUMNO"/>
    <tableColumn id="3" name="FECHA"/>
    <tableColumn id="4" name="TIPO"/>
    <tableColumn id="5" name="DETALLE"/>
    <tableColumn id="6" name="FECHA_COMUNICACION"/>
    <tableColumn id="7" name="ESTADO"/>
    <tableColumn id="8" name="ORIGE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FF5B2F78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7" customWidth="1" style="63" min="1" max="1"/>
    <col width="18" customWidth="1" style="63" min="2" max="2"/>
    <col width="18" customWidth="1" style="63" min="3" max="3"/>
    <col width="24" customWidth="1" style="63" min="4" max="4"/>
    <col width="18" customWidth="1" style="63" min="5" max="5"/>
    <col width="18" customWidth="1" style="63" min="6" max="6"/>
    <col width="18" customWidth="1" style="63" min="7" max="7"/>
    <col width="18" customWidth="1" style="63" min="8" max="8"/>
  </cols>
  <sheetData>
    <row r="1"/>
    <row r="2">
      <c r="A2" s="2" t="inlineStr">
        <is>
          <t>Igualdad en práctica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Panel del Excel maestro · Datos de demostración</t>
        </is>
      </c>
      <c r="B3" s="3" t="n"/>
      <c r="C3" s="3" t="n"/>
      <c r="D3" s="3" t="n"/>
      <c r="E3" s="3" t="n"/>
      <c r="F3" s="3" t="n"/>
      <c r="G3" s="3" t="n"/>
      <c r="H3" s="3" t="n"/>
    </row>
    <row r="4"/>
    <row r="5">
      <c r="A5" s="24" t="inlineStr">
        <is>
          <t>INDICADOR</t>
        </is>
      </c>
      <c r="B5" s="24" t="inlineStr">
        <is>
          <t>VALOR</t>
        </is>
      </c>
      <c r="C5" s="25" t="n"/>
      <c r="D5" s="26" t="inlineStr">
        <is>
          <t>ESTADO DEL ALUMNO DEMO</t>
        </is>
      </c>
      <c r="E5" s="26" t="n"/>
      <c r="F5" s="26" t="n"/>
      <c r="G5" s="26" t="n"/>
      <c r="H5" s="26" t="n"/>
    </row>
    <row r="6">
      <c r="A6" s="27" t="inlineStr">
        <is>
          <t>Alumnos activos</t>
        </is>
      </c>
      <c r="B6" s="28">
        <f>COUNTIF(ALUMNOS!E6:E50,"Activo")</f>
        <v/>
      </c>
      <c r="C6" s="25" t="n"/>
      <c r="D6" s="29" t="inlineStr">
        <is>
          <t>Alumno</t>
        </is>
      </c>
      <c r="E6" s="29" t="inlineStr">
        <is>
          <t>Lucía Martín</t>
        </is>
      </c>
      <c r="F6" s="29" t="n"/>
      <c r="G6" s="29" t="n"/>
      <c r="H6" s="29" t="n"/>
    </row>
    <row r="7">
      <c r="A7" s="30" t="inlineStr">
        <is>
          <t>Módulos del curso</t>
        </is>
      </c>
      <c r="B7" s="31">
        <f>COUNTA(MODULOS!A6:A20)</f>
        <v/>
      </c>
      <c r="C7" s="25" t="n"/>
      <c r="D7" s="32" t="inlineStr">
        <is>
          <t>Módulo actual</t>
        </is>
      </c>
      <c r="E7" s="32" t="inlineStr">
        <is>
          <t>01 · Comunicación con perspectiva de género</t>
        </is>
      </c>
      <c r="F7" s="32" t="n"/>
      <c r="G7" s="32" t="n"/>
      <c r="H7" s="32" t="n"/>
    </row>
    <row r="8">
      <c r="A8" s="30" t="inlineStr">
        <is>
          <t>Módulos completados</t>
        </is>
      </c>
      <c r="B8" s="31">
        <f>COUNTIF(PROGRESO!E6:E30,"Completado")</f>
        <v/>
      </c>
      <c r="C8" s="25" t="n"/>
      <c r="D8" s="32" t="inlineStr">
        <is>
          <t>Avance del módulo</t>
        </is>
      </c>
      <c r="E8" s="95" t="n">
        <v>0.6</v>
      </c>
      <c r="F8" s="32" t="n"/>
      <c r="G8" s="32" t="n"/>
      <c r="H8" s="32" t="n"/>
    </row>
    <row r="9">
      <c r="A9" s="30" t="inlineStr">
        <is>
          <t>Progreso medio</t>
        </is>
      </c>
      <c r="B9" s="96">
        <f>AVERAGE(PROGRESO!F6:F30)</f>
        <v/>
      </c>
      <c r="C9" s="25" t="n"/>
      <c r="D9" s="32" t="inlineStr">
        <is>
          <t>Próxima sesión</t>
        </is>
      </c>
      <c r="E9" s="97" t="n">
        <v>46289.72916666666</v>
      </c>
      <c r="F9" s="32" t="n"/>
      <c r="G9" s="32" t="n"/>
      <c r="H9" s="32" t="n"/>
    </row>
    <row r="10">
      <c r="A10" s="30" t="inlineStr">
        <is>
          <t>Avisos publicados</t>
        </is>
      </c>
      <c r="B10" s="31">
        <f>COUNTIF(AVISOS!L6:L50,"Publicado")</f>
        <v/>
      </c>
      <c r="C10" s="25" t="n"/>
      <c r="D10" s="36" t="inlineStr">
        <is>
          <t>Último aviso</t>
        </is>
      </c>
      <c r="E10" s="36" t="inlineStr">
        <is>
          <t>Cambio de horario</t>
        </is>
      </c>
      <c r="F10" s="36" t="n"/>
      <c r="G10" s="36" t="n"/>
      <c r="H10" s="36" t="n"/>
    </row>
    <row r="11">
      <c r="A11" s="37" t="inlineStr">
        <is>
          <t>Evaluaciones recibidas</t>
        </is>
      </c>
      <c r="B11" s="38">
        <f>COUNTA(EVALUACIONES_MODULOS!A6:A50)</f>
        <v/>
      </c>
      <c r="C11" s="25" t="n"/>
      <c r="D11" s="25" t="n"/>
      <c r="E11" s="25" t="n"/>
      <c r="F11" s="25" t="n"/>
      <c r="G11" s="25" t="n"/>
      <c r="H11" s="25" t="n"/>
    </row>
    <row r="12">
      <c r="A12" s="93" t="inlineStr">
        <is>
          <t>No asistencias comunicadas</t>
        </is>
      </c>
      <c r="B12" s="11">
        <f>COUNTIF(ASISTENCIA!D6:D200,"No asistencia")</f>
        <v/>
      </c>
    </row>
    <row r="13">
      <c r="A13" s="94" t="inlineStr">
        <is>
          <t>Incidencias registradas</t>
        </is>
      </c>
      <c r="B13" s="13">
        <f>COUNTIF(ASISTENCIA!D6:D200,"Incidencia")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D46657"/>
    <outlinePr summaryBelow="1" summaryRight="1"/>
    <pageSetUpPr/>
  </sheetPr>
  <dimension ref="A1:Z13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13.89000034332275" customWidth="1" style="63" min="2" max="2"/>
    <col width="35" customWidth="1" style="63" min="3" max="3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CONFIGURACION</t>
        </is>
      </c>
      <c r="B2" s="1" t="n"/>
      <c r="C2" s="1" t="n"/>
    </row>
    <row r="3">
      <c r="A3" s="3" t="inlineStr">
        <is>
          <t>Parámetros generales utilizados por la intranet y por Claude.</t>
        </is>
      </c>
      <c r="B3" s="3" t="n"/>
      <c r="C3" s="3" t="n"/>
    </row>
    <row r="5" ht="30" customHeight="1" s="63">
      <c r="A5" s="49" t="inlineStr">
        <is>
          <t>CLAVE</t>
        </is>
      </c>
      <c r="B5" s="50" t="inlineStr">
        <is>
          <t>VALOR</t>
        </is>
      </c>
      <c r="C5" s="51" t="inlineStr">
        <is>
          <t>DESCRIPCION</t>
        </is>
      </c>
    </row>
    <row r="6" ht="23" customHeight="1" s="63">
      <c r="A6" s="66" t="inlineStr">
        <is>
          <t>NOMBRE_CURSO</t>
        </is>
      </c>
      <c r="B6" s="66" t="inlineStr">
        <is>
          <t>Igualdad en práctica</t>
        </is>
      </c>
      <c r="C6" s="55" t="inlineStr">
        <is>
          <t>Nombre visible de la intranet</t>
        </is>
      </c>
    </row>
    <row r="7" ht="23" customHeight="1" s="63">
      <c r="A7" s="67" t="inlineStr">
        <is>
          <t>PROFESORA</t>
        </is>
      </c>
      <c r="B7" s="67" t="inlineStr">
        <is>
          <t>Coral</t>
        </is>
      </c>
      <c r="C7" s="56" t="inlineStr">
        <is>
          <t>Persona responsable del curso</t>
        </is>
      </c>
    </row>
    <row r="8" ht="23" customHeight="1" s="63">
      <c r="A8" s="67" t="inlineStr">
        <is>
          <t>CURSO</t>
        </is>
      </c>
      <c r="B8" s="67" t="inlineStr">
        <is>
          <t>2026</t>
        </is>
      </c>
      <c r="C8" s="56" t="inlineStr">
        <is>
          <t>Edición del curso</t>
        </is>
      </c>
    </row>
    <row r="9" ht="23" customHeight="1" s="63">
      <c r="A9" s="67" t="inlineStr">
        <is>
          <t>MODULOS</t>
        </is>
      </c>
      <c r="B9" s="67" t="n">
        <v>8</v>
      </c>
      <c r="C9" s="56" t="inlineStr">
        <is>
          <t>Número total de módulos</t>
        </is>
      </c>
    </row>
    <row r="10" ht="23" customHeight="1" s="63">
      <c r="A10" s="67" t="inlineStr">
        <is>
          <t>EVALUACION_CONFIDENCIAL</t>
        </is>
      </c>
      <c r="B10" s="67" t="inlineStr">
        <is>
          <t>Sí</t>
        </is>
      </c>
      <c r="C10" s="56" t="inlineStr">
        <is>
          <t>La profesora recibe respuestas sin nombres</t>
        </is>
      </c>
    </row>
    <row r="11" ht="23" customHeight="1" s="63">
      <c r="A11" s="67" t="inlineStr">
        <is>
          <t>APERTURA</t>
        </is>
      </c>
      <c r="B11" s="67" t="inlineStr">
        <is>
          <t>Progresiva</t>
        </is>
      </c>
      <c r="C11" s="56" t="inlineStr">
        <is>
          <t>Todos los módulos se ven, pero se abren por fechas</t>
        </is>
      </c>
    </row>
    <row r="12" ht="23" customHeight="1" s="63">
      <c r="A12" s="67" t="inlineStr">
        <is>
          <t>COLOR_PRINCIPAL</t>
        </is>
      </c>
      <c r="B12" s="67" t="inlineStr">
        <is>
          <t>#5B2F78</t>
        </is>
      </c>
      <c r="C12" s="56" t="inlineStr">
        <is>
          <t>Morado de la interfaz</t>
        </is>
      </c>
    </row>
    <row r="13" ht="23" customHeight="1" s="63">
      <c r="A13" s="68" t="inlineStr">
        <is>
          <t>COLOR_ACENTO</t>
        </is>
      </c>
      <c r="B13" s="68" t="inlineStr">
        <is>
          <t>#D46657</t>
        </is>
      </c>
      <c r="C13" s="57" t="inlineStr">
        <is>
          <t>Coral de avisos y elementos destacados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7D4B9B"/>
    <outlinePr summaryBelow="1" summaryRight="1"/>
    <pageSetUpPr/>
  </sheetPr>
  <dimension ref="A1:Z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7.110000133514404" customWidth="1" style="63" min="2" max="2"/>
    <col width="9" customWidth="1" style="63" min="3" max="3"/>
    <col width="16.21999931335449" customWidth="1" style="63" min="4" max="4"/>
    <col width="6.670000076293945" customWidth="1" style="63" min="5" max="5"/>
    <col width="5.559999942779541" customWidth="1" style="63" min="6" max="6"/>
    <col width="10.32999992370605" customWidth="1" style="63" min="7" max="7"/>
    <col width="13.32999992370605" customWidth="1" style="63" min="8" max="8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ALUMNOS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Directorio y control de acceso. Los datos son ficticios.</t>
        </is>
      </c>
      <c r="B3" s="3" t="n"/>
      <c r="C3" s="3" t="n"/>
      <c r="D3" s="3" t="n"/>
      <c r="E3" s="3" t="n"/>
      <c r="F3" s="3" t="n"/>
      <c r="G3" s="3" t="n"/>
      <c r="H3" s="3" t="n"/>
    </row>
    <row r="5" ht="30" customHeight="1" s="63">
      <c r="A5" s="49" t="inlineStr">
        <is>
          <t>ID_ALUMNO</t>
        </is>
      </c>
      <c r="B5" s="50" t="inlineStr">
        <is>
          <t>NOMBRE</t>
        </is>
      </c>
      <c r="C5" s="50" t="inlineStr">
        <is>
          <t>APELLIDOS</t>
        </is>
      </c>
      <c r="D5" s="50" t="inlineStr">
        <is>
          <t>CORREO</t>
        </is>
      </c>
      <c r="E5" s="50" t="inlineStr">
        <is>
          <t>ESTADO</t>
        </is>
      </c>
      <c r="F5" s="50" t="inlineStr">
        <is>
          <t>ROL</t>
        </is>
      </c>
      <c r="G5" s="50" t="inlineStr">
        <is>
          <t>FECHA_ALTA</t>
        </is>
      </c>
      <c r="H5" s="51" t="inlineStr">
        <is>
          <t>ULTIMO_ACCESO</t>
        </is>
      </c>
    </row>
    <row r="6" ht="23" customHeight="1" s="63">
      <c r="A6" s="65" t="inlineStr">
        <is>
          <t>ALU-001</t>
        </is>
      </c>
      <c r="B6" s="65" t="inlineStr">
        <is>
          <t>Lucía</t>
        </is>
      </c>
      <c r="C6" s="65" t="inlineStr">
        <is>
          <t>Martín</t>
        </is>
      </c>
      <c r="D6" s="65" t="inlineStr">
        <is>
          <t>lucia.demo@curso.local</t>
        </is>
      </c>
      <c r="E6" s="65" t="inlineStr">
        <is>
          <t>Activo</t>
        </is>
      </c>
      <c r="F6" s="65" t="inlineStr">
        <is>
          <t>Alumno</t>
        </is>
      </c>
      <c r="G6" s="98" t="n">
        <v>46266</v>
      </c>
      <c r="H6" s="99" t="n">
        <v>46286.38333333333</v>
      </c>
    </row>
  </sheetData>
  <dataValidations count="1">
    <dataValidation sqref="E6:E100" showDropDown="0" showInputMessage="0" showErrorMessage="0" allowBlank="0" type="list">
      <formula1>"Activo,Inactivo"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7D4B9B"/>
    <outlinePr summaryBelow="1" summaryRight="1"/>
    <pageSetUpPr/>
  </sheetPr>
  <dimension ref="A1:Z1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5.889999866485596" customWidth="1" style="63" min="2" max="2"/>
    <col width="20.78000068664551" customWidth="1" style="63" min="3" max="3"/>
    <col width="43.43999862670898" customWidth="1" style="63" min="4" max="4"/>
    <col width="14.67000007629395" customWidth="1" style="63" min="5" max="5"/>
    <col width="12" customWidth="1" style="63" min="6" max="6"/>
    <col width="8.670000076293945" customWidth="1" style="63" min="7" max="7"/>
    <col width="8.439999580383301" customWidth="1" style="63" min="8" max="8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MODULOS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Los ocho módulos son visibles; su disponibilidad depende de las fechas.</t>
        </is>
      </c>
      <c r="B3" s="3" t="n"/>
      <c r="C3" s="3" t="n"/>
      <c r="D3" s="3" t="n"/>
      <c r="E3" s="3" t="n"/>
      <c r="F3" s="3" t="n"/>
      <c r="G3" s="3" t="n"/>
      <c r="H3" s="3" t="n"/>
    </row>
    <row r="4"/>
    <row r="5" ht="30" customHeight="1" s="63">
      <c r="A5" s="49" t="inlineStr">
        <is>
          <t>ID_MODULO</t>
        </is>
      </c>
      <c r="B5" s="50" t="inlineStr">
        <is>
          <t>ORDEN</t>
        </is>
      </c>
      <c r="C5" s="50" t="inlineStr">
        <is>
          <t>TITULO</t>
        </is>
      </c>
      <c r="D5" s="50" t="inlineStr">
        <is>
          <t>DESCRIPCION</t>
        </is>
      </c>
      <c r="E5" s="50" t="inlineStr">
        <is>
          <t>FECHA_APERTURA</t>
        </is>
      </c>
      <c r="F5" s="50" t="inlineStr">
        <is>
          <t>FECHA_CIERRE</t>
        </is>
      </c>
      <c r="G5" s="50" t="inlineStr">
        <is>
          <t>ESTADO</t>
        </is>
      </c>
      <c r="H5" s="51" t="inlineStr">
        <is>
          <t>DURACION</t>
        </is>
      </c>
    </row>
    <row r="6" ht="23" customHeight="1" s="63">
      <c r="A6" s="66" t="inlineStr">
        <is>
          <t>MOD-01</t>
        </is>
      </c>
      <c r="B6" s="66" t="n">
        <v>1</v>
      </c>
      <c r="C6" s="55" t="inlineStr">
        <is>
          <t>Comunicación con perspectiva de género (MF1453_3)</t>
        </is>
      </c>
      <c r="D6" s="55" t="inlineStr">
        <is>
          <t>UF2683 · Teoría de género y lenguaje no sexista + UF2684 · Comunicación con perspectiva de género.</t>
        </is>
      </c>
      <c r="E6" s="100" t="n">
        <v>46289</v>
      </c>
      <c r="F6" s="100" t="n">
        <v>46336</v>
      </c>
      <c r="G6" s="66" t="inlineStr">
        <is>
          <t>Programado</t>
        </is>
      </c>
      <c r="H6" s="66" t="inlineStr">
        <is>
          <t>177 h · 33 jornadas</t>
        </is>
      </c>
    </row>
    <row r="7" ht="23" customHeight="1" s="63">
      <c r="A7" s="67" t="inlineStr">
        <is>
          <t>MOD-02</t>
        </is>
      </c>
      <c r="B7" s="67" t="n">
        <v>2</v>
      </c>
      <c r="C7" s="56" t="inlineStr">
        <is>
          <t>Participación y creación de redes</t>
        </is>
      </c>
      <c r="D7" s="56" t="inlineStr"/>
      <c r="E7" s="101" t="n">
        <v>46336</v>
      </c>
      <c r="F7" s="101" t="n">
        <v>46358</v>
      </c>
      <c r="G7" s="67" t="inlineStr">
        <is>
          <t>Programado</t>
        </is>
      </c>
      <c r="H7" s="67" t="inlineStr">
        <is>
          <t>89 h</t>
        </is>
      </c>
    </row>
    <row r="8" ht="23" customHeight="1" s="63">
      <c r="A8" s="67" t="inlineStr">
        <is>
          <t>MOD-03</t>
        </is>
      </c>
      <c r="B8" s="67" t="n">
        <v>3</v>
      </c>
      <c r="C8" s="56" t="inlineStr">
        <is>
          <t>Igualdad en materia de empleo</t>
        </is>
      </c>
      <c r="D8" s="56" t="inlineStr"/>
      <c r="E8" s="101" t="n">
        <v>46358</v>
      </c>
      <c r="F8" s="101" t="n">
        <v>46402</v>
      </c>
      <c r="G8" s="67" t="inlineStr">
        <is>
          <t>Programado</t>
        </is>
      </c>
      <c r="H8" s="67" t="inlineStr">
        <is>
          <t>114 h</t>
        </is>
      </c>
    </row>
    <row r="9" ht="23" customHeight="1" s="63">
      <c r="A9" s="67" t="inlineStr">
        <is>
          <t>MOD-04</t>
        </is>
      </c>
      <c r="B9" s="67" t="n">
        <v>4</v>
      </c>
      <c r="C9" s="56" t="inlineStr">
        <is>
          <t>Acciones para la igualdad efectiva</t>
        </is>
      </c>
      <c r="D9" s="56" t="inlineStr"/>
      <c r="E9" s="101" t="n">
        <v>46402</v>
      </c>
      <c r="F9" s="101" t="n">
        <v>46428</v>
      </c>
      <c r="G9" s="67" t="inlineStr">
        <is>
          <t>Programado</t>
        </is>
      </c>
      <c r="H9" s="67" t="inlineStr">
        <is>
          <t>101 h</t>
        </is>
      </c>
    </row>
    <row r="10" ht="23" customHeight="1" s="63">
      <c r="A10" s="67" t="inlineStr">
        <is>
          <t>MOD-05</t>
        </is>
      </c>
      <c r="B10" s="67" t="n">
        <v>5</v>
      </c>
      <c r="C10" s="56" t="inlineStr">
        <is>
          <t>Detección y prevención de la violencia de género</t>
        </is>
      </c>
      <c r="D10" s="56" t="inlineStr"/>
      <c r="E10" s="101" t="n">
        <v>46428</v>
      </c>
      <c r="F10" s="101" t="n">
        <v>46450</v>
      </c>
      <c r="G10" s="67" t="inlineStr">
        <is>
          <t>Programado</t>
        </is>
      </c>
      <c r="H10" s="67" t="inlineStr">
        <is>
          <t>89 h</t>
        </is>
      </c>
    </row>
    <row r="11" ht="23" customHeight="1" s="63"/>
    <row r="12" ht="23" customHeight="1" s="63"/>
    <row r="13" ht="23" customHeight="1" s="63"/>
  </sheetData>
  <dataValidations count="1">
    <dataValidation sqref="G6:G50" showDropDown="0" showInputMessage="0" showErrorMessage="0" allowBlank="0" type="list">
      <formula1>"Borrador,Programado,Disponible,Cerrado"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9.329999923706055" customWidth="1" style="63" min="2" max="2"/>
    <col width="5.889999866485596" customWidth="1" style="63" min="3" max="3"/>
    <col width="24.55999946594238" customWidth="1" style="63" min="4" max="4"/>
    <col width="6.559999942779541" customWidth="1" style="63" min="5" max="5"/>
    <col width="7.329999923706055" customWidth="1" style="63" min="6" max="6"/>
    <col width="22.44000053405762" customWidth="1" style="63" min="7" max="7"/>
    <col width="9.220000267028809" customWidth="1" style="63" min="8" max="8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LECCIONES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Contenidos de los módulos disponibles en esta demostración.</t>
        </is>
      </c>
      <c r="B3" s="3" t="n"/>
      <c r="C3" s="3" t="n"/>
      <c r="D3" s="3" t="n"/>
      <c r="E3" s="3" t="n"/>
      <c r="F3" s="3" t="n"/>
      <c r="G3" s="3" t="n"/>
      <c r="H3" s="3" t="n"/>
    </row>
    <row r="5" ht="30" customHeight="1" s="63">
      <c r="A5" s="49" t="inlineStr">
        <is>
          <t>ID_LECCION</t>
        </is>
      </c>
      <c r="B5" s="50" t="inlineStr">
        <is>
          <t>ID_MODULO</t>
        </is>
      </c>
      <c r="C5" s="50" t="inlineStr">
        <is>
          <t>ORDEN</t>
        </is>
      </c>
      <c r="D5" s="50" t="inlineStr">
        <is>
          <t>TITULO</t>
        </is>
      </c>
      <c r="E5" s="50" t="inlineStr">
        <is>
          <t>TIPO</t>
        </is>
      </c>
      <c r="F5" s="50" t="inlineStr">
        <is>
          <t>MINUTOS</t>
        </is>
      </c>
      <c r="G5" s="50" t="inlineStr">
        <is>
          <t>ENLACE</t>
        </is>
      </c>
      <c r="H5" s="51" t="inlineStr">
        <is>
          <t>PUBLICADA</t>
        </is>
      </c>
    </row>
    <row r="6" ht="23" customHeight="1" s="63">
      <c r="A6" s="66" t="inlineStr">
        <is>
          <t>LEC-01-01</t>
        </is>
      </c>
      <c r="B6" s="66" t="inlineStr">
        <is>
          <t>MOD-01</t>
        </is>
      </c>
      <c r="C6" s="66" t="n">
        <v>1</v>
      </c>
      <c r="D6" s="55" t="inlineStr">
        <is>
          <t>Punto de partida</t>
        </is>
      </c>
      <c r="E6" s="66" t="inlineStr">
        <is>
          <t>Vídeo</t>
        </is>
      </c>
      <c r="F6" s="66" t="n">
        <v>15</v>
      </c>
      <c r="G6" s="55" t="inlineStr">
        <is>
          <t>https://drive.google.com/demo/01</t>
        </is>
      </c>
      <c r="H6" s="66" t="b">
        <v>1</v>
      </c>
    </row>
    <row r="7" ht="23" customHeight="1" s="63">
      <c r="A7" s="67" t="inlineStr">
        <is>
          <t>LEC-01-02</t>
        </is>
      </c>
      <c r="B7" s="67" t="inlineStr">
        <is>
          <t>MOD-01</t>
        </is>
      </c>
      <c r="C7" s="67" t="n">
        <v>2</v>
      </c>
      <c r="D7" s="56" t="inlineStr">
        <is>
          <t>Qué aporta la perspectiva de género</t>
        </is>
      </c>
      <c r="E7" s="67" t="inlineStr">
        <is>
          <t>Lectura</t>
        </is>
      </c>
      <c r="F7" s="67" t="n">
        <v>25</v>
      </c>
      <c r="G7" s="56" t="inlineStr">
        <is>
          <t>https://drive.google.com/demo/02</t>
        </is>
      </c>
      <c r="H7" s="67" t="b">
        <v>1</v>
      </c>
    </row>
    <row r="8" ht="23" customHeight="1" s="63">
      <c r="A8" s="67" t="inlineStr">
        <is>
          <t>LEC-01-03</t>
        </is>
      </c>
      <c r="B8" s="67" t="inlineStr">
        <is>
          <t>MOD-01</t>
        </is>
      </c>
      <c r="C8" s="67" t="n">
        <v>3</v>
      </c>
      <c r="D8" s="56" t="inlineStr">
        <is>
          <t>Caso práctico: cambiar la mirada</t>
        </is>
      </c>
      <c r="E8" s="67" t="inlineStr">
        <is>
          <t>Actividad</t>
        </is>
      </c>
      <c r="F8" s="67" t="n">
        <v>55</v>
      </c>
      <c r="G8" s="56" t="inlineStr">
        <is>
          <t>https://drive.google.com/demo/03</t>
        </is>
      </c>
      <c r="H8" s="67" t="b">
        <v>1</v>
      </c>
    </row>
    <row r="9" ht="23" customHeight="1" s="63">
      <c r="A9" s="67" t="inlineStr">
        <is>
          <t>LEC-02-01</t>
        </is>
      </c>
      <c r="B9" s="67" t="inlineStr">
        <is>
          <t>MOD-02</t>
        </is>
      </c>
      <c r="C9" s="67" t="n">
        <v>1</v>
      </c>
      <c r="D9" s="56" t="inlineStr">
        <is>
          <t>Sexo y género</t>
        </is>
      </c>
      <c r="E9" s="67" t="inlineStr">
        <is>
          <t>Vídeo</t>
        </is>
      </c>
      <c r="F9" s="67" t="n">
        <v>20</v>
      </c>
      <c r="G9" s="56" t="inlineStr">
        <is>
          <t>https://drive.google.com/demo/04</t>
        </is>
      </c>
      <c r="H9" s="67" t="b">
        <v>1</v>
      </c>
    </row>
    <row r="10" ht="23" customHeight="1" s="63">
      <c r="A10" s="67" t="inlineStr">
        <is>
          <t>LEC-02-02</t>
        </is>
      </c>
      <c r="B10" s="67" t="inlineStr">
        <is>
          <t>MOD-02</t>
        </is>
      </c>
      <c r="C10" s="67" t="n">
        <v>2</v>
      </c>
      <c r="D10" s="56" t="inlineStr">
        <is>
          <t>Igualdad formal y real</t>
        </is>
      </c>
      <c r="E10" s="67" t="inlineStr">
        <is>
          <t>Lectura</t>
        </is>
      </c>
      <c r="F10" s="67" t="n">
        <v>35</v>
      </c>
      <c r="G10" s="56" t="inlineStr">
        <is>
          <t>https://drive.google.com/demo/05</t>
        </is>
      </c>
      <c r="H10" s="67" t="b">
        <v>1</v>
      </c>
    </row>
    <row r="11" ht="23" customHeight="1" s="63">
      <c r="A11" s="67" t="inlineStr">
        <is>
          <t>LEC-02-03</t>
        </is>
      </c>
      <c r="B11" s="67" t="inlineStr">
        <is>
          <t>MOD-02</t>
        </is>
      </c>
      <c r="C11" s="67" t="n">
        <v>3</v>
      </c>
      <c r="D11" s="56" t="inlineStr">
        <is>
          <t>Interseccionalidad</t>
        </is>
      </c>
      <c r="E11" s="67" t="inlineStr">
        <is>
          <t>Actividad</t>
        </is>
      </c>
      <c r="F11" s="67" t="n">
        <v>55</v>
      </c>
      <c r="G11" s="56" t="inlineStr">
        <is>
          <t>https://drive.google.com/demo/06</t>
        </is>
      </c>
      <c r="H11" s="67" t="b">
        <v>1</v>
      </c>
    </row>
    <row r="12" ht="23" customHeight="1" s="63">
      <c r="A12" s="67" t="inlineStr">
        <is>
          <t>LEC-03-01</t>
        </is>
      </c>
      <c r="B12" s="67" t="inlineStr">
        <is>
          <t>MOD-03</t>
        </is>
      </c>
      <c r="C12" s="67" t="n">
        <v>1</v>
      </c>
      <c r="D12" s="56" t="inlineStr">
        <is>
          <t>Qué es un sesgo</t>
        </is>
      </c>
      <c r="E12" s="67" t="inlineStr">
        <is>
          <t>Vídeo</t>
        </is>
      </c>
      <c r="F12" s="67" t="n">
        <v>20</v>
      </c>
      <c r="G12" s="56" t="inlineStr">
        <is>
          <t>https://drive.google.com/demo/07</t>
        </is>
      </c>
      <c r="H12" s="67" t="b">
        <v>1</v>
      </c>
    </row>
    <row r="13" ht="23" customHeight="1" s="63">
      <c r="A13" s="67" t="inlineStr">
        <is>
          <t>LEC-03-02</t>
        </is>
      </c>
      <c r="B13" s="67" t="inlineStr">
        <is>
          <t>MOD-03</t>
        </is>
      </c>
      <c r="C13" s="67" t="n">
        <v>2</v>
      </c>
      <c r="D13" s="56" t="inlineStr">
        <is>
          <t>Estereotipos cotidianos</t>
        </is>
      </c>
      <c r="E13" s="67" t="inlineStr">
        <is>
          <t>Lectura</t>
        </is>
      </c>
      <c r="F13" s="67" t="n">
        <v>30</v>
      </c>
      <c r="G13" s="56" t="inlineStr">
        <is>
          <t>https://drive.google.com/demo/08</t>
        </is>
      </c>
      <c r="H13" s="67" t="b">
        <v>1</v>
      </c>
    </row>
    <row r="14" ht="23" customHeight="1" s="63">
      <c r="A14" s="67" t="inlineStr">
        <is>
          <t>LEC-03-03</t>
        </is>
      </c>
      <c r="B14" s="67" t="inlineStr">
        <is>
          <t>MOD-03</t>
        </is>
      </c>
      <c r="C14" s="67" t="n">
        <v>3</v>
      </c>
      <c r="D14" s="56" t="inlineStr">
        <is>
          <t>Detectarlos en la práctica</t>
        </is>
      </c>
      <c r="E14" s="67" t="inlineStr">
        <is>
          <t>Caso</t>
        </is>
      </c>
      <c r="F14" s="67" t="n">
        <v>35</v>
      </c>
      <c r="G14" s="56" t="inlineStr">
        <is>
          <t>https://drive.google.com/demo/09</t>
        </is>
      </c>
      <c r="H14" s="67" t="b">
        <v>1</v>
      </c>
    </row>
    <row r="15" ht="23" customHeight="1" s="63">
      <c r="A15" s="68" t="inlineStr">
        <is>
          <t>LEC-03-04</t>
        </is>
      </c>
      <c r="B15" s="68" t="inlineStr">
        <is>
          <t>MOD-03</t>
        </is>
      </c>
      <c r="C15" s="68" t="n">
        <v>4</v>
      </c>
      <c r="D15" s="57" t="inlineStr">
        <is>
          <t>Actividad de observación</t>
        </is>
      </c>
      <c r="E15" s="68" t="inlineStr">
        <is>
          <t>Actividad</t>
        </is>
      </c>
      <c r="F15" s="68" t="n">
        <v>45</v>
      </c>
      <c r="G15" s="57" t="inlineStr">
        <is>
          <t>https://drive.google.com/demo/10</t>
        </is>
      </c>
      <c r="H15" s="68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9.329999923706055" customWidth="1" style="63" min="2" max="2"/>
    <col width="18.78000068664551" customWidth="1" style="63" min="3" max="3"/>
    <col width="5.670000076293945" customWidth="1" style="63" min="4" max="4"/>
    <col width="28.32999992370605" customWidth="1" style="63" min="5" max="5"/>
    <col width="6.21999979019165" customWidth="1" style="63" min="6" max="6"/>
    <col width="5.889999866485596" customWidth="1" style="63" min="7" max="7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MATERIALES</t>
        </is>
      </c>
      <c r="B2" s="1" t="n"/>
      <c r="C2" s="1" t="n"/>
      <c r="D2" s="1" t="n"/>
      <c r="E2" s="1" t="n"/>
      <c r="F2" s="1" t="n"/>
      <c r="G2" s="1" t="n"/>
    </row>
    <row r="3">
      <c r="A3" s="3" t="inlineStr">
        <is>
          <t>Biblioteca de documentos, vídeos y plantillas.</t>
        </is>
      </c>
      <c r="B3" s="3" t="n"/>
      <c r="C3" s="3" t="n"/>
      <c r="D3" s="3" t="n"/>
      <c r="E3" s="3" t="n"/>
      <c r="F3" s="3" t="n"/>
      <c r="G3" s="3" t="n"/>
    </row>
    <row r="5" ht="30" customHeight="1" s="63">
      <c r="A5" s="49" t="inlineStr">
        <is>
          <t>ID_MATERIAL</t>
        </is>
      </c>
      <c r="B5" s="50" t="inlineStr">
        <is>
          <t>ID_MODULO</t>
        </is>
      </c>
      <c r="C5" s="50" t="inlineStr">
        <is>
          <t>TITULO</t>
        </is>
      </c>
      <c r="D5" s="50" t="inlineStr">
        <is>
          <t>TIPO</t>
        </is>
      </c>
      <c r="E5" s="50" t="inlineStr">
        <is>
          <t>ENLACE</t>
        </is>
      </c>
      <c r="F5" s="50" t="inlineStr">
        <is>
          <t>VISIBLE</t>
        </is>
      </c>
      <c r="G5" s="51" t="inlineStr">
        <is>
          <t>ORDEN</t>
        </is>
      </c>
    </row>
    <row r="6" ht="23" customHeight="1" s="63">
      <c r="A6" s="66" t="inlineStr">
        <is>
          <t>MAT-001</t>
        </is>
      </c>
      <c r="B6" s="66" t="inlineStr">
        <is>
          <t>GENERAL</t>
        </is>
      </c>
      <c r="C6" s="55" t="inlineStr">
        <is>
          <t>Glosario básico de igualdad</t>
        </is>
      </c>
      <c r="D6" s="66" t="inlineStr">
        <is>
          <t>PDF</t>
        </is>
      </c>
      <c r="E6" s="55" t="inlineStr">
        <is>
          <t>https://drive.google.com/demo/glosario</t>
        </is>
      </c>
      <c r="F6" s="66" t="b">
        <v>1</v>
      </c>
      <c r="G6" s="66" t="n">
        <v>1</v>
      </c>
    </row>
    <row r="7" ht="23" customHeight="1" s="63">
      <c r="A7" s="67" t="inlineStr">
        <is>
          <t>MAT-002</t>
        </is>
      </c>
      <c r="B7" s="67" t="inlineStr">
        <is>
          <t>MOD-01</t>
        </is>
      </c>
      <c r="C7" s="56" t="inlineStr">
        <is>
          <t>La perspectiva de género</t>
        </is>
      </c>
      <c r="D7" s="67" t="inlineStr">
        <is>
          <t>Vídeo</t>
        </is>
      </c>
      <c r="E7" s="56" t="inlineStr">
        <is>
          <t>https://drive.google.com/demo/perspectiva</t>
        </is>
      </c>
      <c r="F7" s="67" t="b">
        <v>1</v>
      </c>
      <c r="G7" s="67" t="n">
        <v>2</v>
      </c>
    </row>
    <row r="8" ht="23" customHeight="1" s="63">
      <c r="A8" s="67" t="inlineStr">
        <is>
          <t>MAT-003</t>
        </is>
      </c>
      <c r="B8" s="67" t="inlineStr">
        <is>
          <t>MOD-03</t>
        </is>
      </c>
      <c r="C8" s="56" t="inlineStr">
        <is>
          <t>Diario de observación</t>
        </is>
      </c>
      <c r="D8" s="67" t="inlineStr">
        <is>
          <t>Plantilla</t>
        </is>
      </c>
      <c r="E8" s="56" t="inlineStr">
        <is>
          <t>https://drive.google.com/demo/diario</t>
        </is>
      </c>
      <c r="F8" s="67" t="b">
        <v>1</v>
      </c>
      <c r="G8" s="67" t="n">
        <v>3</v>
      </c>
    </row>
    <row r="9" ht="23" customHeight="1" s="63">
      <c r="A9" s="68" t="inlineStr">
        <is>
          <t>MAT-004</t>
        </is>
      </c>
      <c r="B9" s="68" t="inlineStr">
        <is>
          <t>MOD-03</t>
        </is>
      </c>
      <c r="C9" s="57" t="inlineStr">
        <is>
          <t>Estereotipos en los medios</t>
        </is>
      </c>
      <c r="D9" s="68" t="inlineStr">
        <is>
          <t>Lectura</t>
        </is>
      </c>
      <c r="E9" s="57" t="inlineStr">
        <is>
          <t>https://drive.google.com/demo/medios</t>
        </is>
      </c>
      <c r="F9" s="68" t="b">
        <v>1</v>
      </c>
      <c r="G9" s="68" t="n">
        <v>4</v>
      </c>
    </row>
    <row r="10">
      <c r="A10" t="inlineStr">
        <is>
          <t>MAT-005</t>
        </is>
      </c>
      <c r="B10" t="inlineStr">
        <is>
          <t>MOD-01</t>
        </is>
      </c>
      <c r="C10" t="inlineStr">
        <is>
          <t>Documental: mujeres invisibilizadas en la historia</t>
        </is>
      </c>
      <c r="D10" t="inlineStr">
        <is>
          <t>Vídeo</t>
        </is>
      </c>
      <c r="E10" t="inlineStr">
        <is>
          <t>(pendiente de subir a Drive)</t>
        </is>
      </c>
      <c r="F10" t="b">
        <v>1</v>
      </c>
      <c r="G10" t="n">
        <v>5</v>
      </c>
    </row>
    <row r="11">
      <c r="A11" t="inlineStr">
        <is>
          <t>MAT-006</t>
        </is>
      </c>
      <c r="B11" t="inlineStr">
        <is>
          <t>MOD-01</t>
        </is>
      </c>
      <c r="C11" t="inlineStr">
        <is>
          <t>Película para trabajar comunicación no verbal</t>
        </is>
      </c>
      <c r="D11" t="inlineStr">
        <is>
          <t>Vídeo</t>
        </is>
      </c>
      <c r="E11" t="inlineStr">
        <is>
          <t>(pendiente de subir a Drive)</t>
        </is>
      </c>
      <c r="F11" t="b">
        <v>1</v>
      </c>
      <c r="G11" t="n">
        <v>6</v>
      </c>
    </row>
    <row r="12">
      <c r="A12" t="inlineStr">
        <is>
          <t>MAT-007</t>
        </is>
      </c>
      <c r="B12" t="inlineStr">
        <is>
          <t>MOD-01</t>
        </is>
      </c>
      <c r="C12" t="inlineStr">
        <is>
          <t>Criterios de análisis de publicidad sexista</t>
        </is>
      </c>
      <c r="D12" t="inlineStr">
        <is>
          <t>Lectura</t>
        </is>
      </c>
      <c r="E12" t="inlineStr">
        <is>
          <t>(pendiente de subir a Drive)</t>
        </is>
      </c>
      <c r="F12" t="b">
        <v>1</v>
      </c>
      <c r="G12" t="n">
        <v>7</v>
      </c>
    </row>
    <row r="13">
      <c r="A13" t="inlineStr">
        <is>
          <t>MAT-008</t>
        </is>
      </c>
      <c r="B13" t="inlineStr">
        <is>
          <t>MOD-01</t>
        </is>
      </c>
      <c r="C13" t="inlineStr">
        <is>
          <t>Lectura: el patriarcado como sistema</t>
        </is>
      </c>
      <c r="D13" t="inlineStr">
        <is>
          <t>Lectura</t>
        </is>
      </c>
      <c r="E13" t="inlineStr">
        <is>
          <t>(pendiente de subir a Drive)</t>
        </is>
      </c>
      <c r="F13" t="b">
        <v>1</v>
      </c>
      <c r="G13" t="n">
        <v>8</v>
      </c>
    </row>
    <row r="14">
      <c r="A14" t="inlineStr">
        <is>
          <t>MAT-009</t>
        </is>
      </c>
      <c r="B14" t="inlineStr">
        <is>
          <t>MOD-01</t>
        </is>
      </c>
      <c r="C14" t="inlineStr">
        <is>
          <t>Plantilla del trabajo práctico integrador</t>
        </is>
      </c>
      <c r="D14" t="inlineStr">
        <is>
          <t>Plantilla</t>
        </is>
      </c>
      <c r="E14" t="inlineStr">
        <is>
          <t>(pendiente de subir a Drive)</t>
        </is>
      </c>
      <c r="F14" t="b">
        <v>1</v>
      </c>
      <c r="G14" t="n">
        <v>9</v>
      </c>
    </row>
    <row r="15">
      <c r="A15" t="inlineStr">
        <is>
          <t>MAT-010</t>
        </is>
      </c>
      <c r="B15" t="inlineStr">
        <is>
          <t>MOD-01</t>
        </is>
      </c>
      <c r="C15" t="inlineStr">
        <is>
          <t>Guía: auditoría de sesgos de género en IA generativa</t>
        </is>
      </c>
      <c r="D15" t="inlineStr">
        <is>
          <t>Plantilla</t>
        </is>
      </c>
      <c r="E15" t="inlineStr">
        <is>
          <t>(pendiente de subir a Drive)</t>
        </is>
      </c>
      <c r="F15" t="b">
        <v>1</v>
      </c>
      <c r="G15" t="n">
        <v>10</v>
      </c>
    </row>
    <row r="16">
      <c r="A16" t="inlineStr">
        <is>
          <t>MAT-011</t>
        </is>
      </c>
      <c r="B16" t="inlineStr">
        <is>
          <t>MOD-01</t>
        </is>
      </c>
      <c r="C16" t="inlineStr">
        <is>
          <t>Problemillas en la información</t>
        </is>
      </c>
      <c r="D16" t="inlineStr">
        <is>
          <t>Lectura</t>
        </is>
      </c>
      <c r="E16" t="inlineStr">
        <is>
          <t>(pendiente de subir a Drive)</t>
        </is>
      </c>
      <c r="F16" t="b">
        <v>1</v>
      </c>
      <c r="G16" t="n">
        <v>11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9.329999923706055" customWidth="1" style="63" min="2" max="2"/>
    <col width="18.88999938964844" customWidth="1" style="63" min="3" max="3"/>
    <col width="43.77999877929688" customWidth="1" style="63" min="4" max="4"/>
    <col width="11.32999992370605" customWidth="1" style="63" min="5" max="5"/>
    <col width="7" customWidth="1" style="63" min="6" max="6"/>
    <col width="10.89000034332275" customWidth="1" style="63" min="7" max="7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TAREAS</t>
        </is>
      </c>
      <c r="B2" s="1" t="n"/>
      <c r="C2" s="1" t="n"/>
      <c r="D2" s="1" t="n"/>
      <c r="E2" s="1" t="n"/>
      <c r="F2" s="1" t="n"/>
      <c r="G2" s="1" t="n"/>
    </row>
    <row r="3">
      <c r="A3" s="3" t="inlineStr">
        <is>
          <t>Actividades vinculadas a los módulos. La entrega se definirá en una fase posterior.</t>
        </is>
      </c>
      <c r="B3" s="3" t="n"/>
      <c r="C3" s="3" t="n"/>
      <c r="D3" s="3" t="n"/>
      <c r="E3" s="3" t="n"/>
      <c r="F3" s="3" t="n"/>
      <c r="G3" s="3" t="n"/>
    </row>
    <row r="5" ht="30" customHeight="1" s="63">
      <c r="A5" s="49" t="inlineStr">
        <is>
          <t>ID_TAREA</t>
        </is>
      </c>
      <c r="B5" s="50" t="inlineStr">
        <is>
          <t>ID_MODULO</t>
        </is>
      </c>
      <c r="C5" s="50" t="inlineStr">
        <is>
          <t>TITULO</t>
        </is>
      </c>
      <c r="D5" s="50" t="inlineStr">
        <is>
          <t>DESCRIPCION</t>
        </is>
      </c>
      <c r="E5" s="50" t="inlineStr">
        <is>
          <t>FECHA_LIMITE</t>
        </is>
      </c>
      <c r="F5" s="50" t="inlineStr">
        <is>
          <t>ESTADO</t>
        </is>
      </c>
      <c r="G5" s="51" t="inlineStr">
        <is>
          <t>OBLIGATORIA</t>
        </is>
      </c>
    </row>
    <row r="6" ht="23" customHeight="1" s="63">
      <c r="A6" s="65" t="inlineStr">
        <is>
          <t>TAR-001</t>
        </is>
      </c>
      <c r="B6" s="65" t="inlineStr">
        <is>
          <t>MOD-03</t>
        </is>
      </c>
      <c r="C6" s="69" t="inlineStr">
        <is>
          <t>Diario breve de observación</t>
        </is>
      </c>
      <c r="D6" s="69" t="inlineStr">
        <is>
          <t>Registra dos situaciones cotidianas en las que detectes un sesgo.</t>
        </is>
      </c>
      <c r="E6" s="99" t="n">
        <v>46292.99930555555</v>
      </c>
      <c r="F6" s="65" t="inlineStr">
        <is>
          <t>Publicada</t>
        </is>
      </c>
      <c r="G6" s="65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9.329999923706055" customWidth="1" style="63" min="2" max="2"/>
    <col width="9.329999923706055" customWidth="1" style="63" min="3" max="3"/>
    <col width="17" customWidth="1" style="63" min="4" max="4"/>
    <col width="8.439999580383301" customWidth="1" style="63" min="5" max="5"/>
    <col width="10.67000007629395" customWidth="1" style="63" min="6" max="6"/>
    <col width="15" customWidth="1" style="63" min="7" max="7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PROGRESO</t>
        </is>
      </c>
      <c r="B2" s="1" t="n"/>
      <c r="C2" s="1" t="n"/>
      <c r="D2" s="1" t="n"/>
      <c r="E2" s="1" t="n"/>
      <c r="F2" s="1" t="n"/>
      <c r="G2" s="1" t="n"/>
    </row>
    <row r="3">
      <c r="A3" s="3" t="inlineStr">
        <is>
          <t>Una fila por alumno y módulo.</t>
        </is>
      </c>
      <c r="B3" s="3" t="n"/>
      <c r="C3" s="3" t="n"/>
      <c r="D3" s="3" t="n"/>
      <c r="E3" s="3" t="n"/>
      <c r="F3" s="3" t="n"/>
      <c r="G3" s="3" t="n"/>
    </row>
    <row r="4"/>
    <row r="5" ht="30" customHeight="1" s="63">
      <c r="A5" s="49" t="inlineStr">
        <is>
          <t>ID_PROGRESO</t>
        </is>
      </c>
      <c r="B5" s="50" t="inlineStr">
        <is>
          <t>ID_ALUMNO</t>
        </is>
      </c>
      <c r="C5" s="50" t="inlineStr">
        <is>
          <t>ID_MODULO</t>
        </is>
      </c>
      <c r="D5" s="50" t="inlineStr">
        <is>
          <t>FECHA_COMPLETADO</t>
        </is>
      </c>
      <c r="E5" s="50" t="inlineStr">
        <is>
          <t>ESTADO</t>
        </is>
      </c>
      <c r="F5" s="50" t="inlineStr">
        <is>
          <t>PORCENTAJE</t>
        </is>
      </c>
      <c r="G5" s="51" t="inlineStr">
        <is>
          <t>ULTIMA_ACTIVIDAD</t>
        </is>
      </c>
    </row>
    <row r="6" ht="23" customHeight="1" s="63">
      <c r="A6" s="66" t="inlineStr">
        <is>
          <t>PRO-001</t>
        </is>
      </c>
      <c r="B6" s="66" t="inlineStr">
        <is>
          <t>ALU-001</t>
        </is>
      </c>
      <c r="C6" s="66" t="inlineStr">
        <is>
          <t>MOD-01</t>
        </is>
      </c>
      <c r="D6" s="100" t="n">
        <v>46277</v>
      </c>
      <c r="E6" s="66" t="inlineStr">
        <is>
          <t>Completado</t>
        </is>
      </c>
      <c r="F6" s="103" t="n">
        <v>1</v>
      </c>
      <c r="G6" s="104" t="n">
        <v>46277.76041666666</v>
      </c>
    </row>
    <row r="7" ht="23" customHeight="1" s="63">
      <c r="A7" s="67" t="inlineStr">
        <is>
          <t>PRO-002</t>
        </is>
      </c>
      <c r="B7" s="67" t="inlineStr">
        <is>
          <t>ALU-001</t>
        </is>
      </c>
      <c r="C7" s="67" t="inlineStr">
        <is>
          <t>MOD-02</t>
        </is>
      </c>
      <c r="D7" s="101" t="n">
        <v>46284</v>
      </c>
      <c r="E7" s="67" t="inlineStr">
        <is>
          <t>Completado</t>
        </is>
      </c>
      <c r="F7" s="105" t="n">
        <v>1</v>
      </c>
      <c r="G7" s="106" t="n">
        <v>46284.81944444445</v>
      </c>
    </row>
    <row r="8" ht="23" customHeight="1" s="63">
      <c r="A8" s="67" t="inlineStr">
        <is>
          <t>PRO-003</t>
        </is>
      </c>
      <c r="B8" s="67" t="inlineStr">
        <is>
          <t>ALU-001</t>
        </is>
      </c>
      <c r="C8" s="67" t="inlineStr">
        <is>
          <t>MOD-03</t>
        </is>
      </c>
      <c r="D8" s="101" t="n"/>
      <c r="E8" s="67" t="inlineStr">
        <is>
          <t>En curso</t>
        </is>
      </c>
      <c r="F8" s="105" t="n">
        <v>0.6</v>
      </c>
      <c r="G8" s="106" t="n">
        <v>46286.38333333333</v>
      </c>
    </row>
    <row r="9" ht="23" customHeight="1" s="63">
      <c r="A9" s="67" t="inlineStr">
        <is>
          <t>PRO-004</t>
        </is>
      </c>
      <c r="B9" s="67" t="inlineStr">
        <is>
          <t>ALU-001</t>
        </is>
      </c>
      <c r="C9" s="67" t="inlineStr">
        <is>
          <t>MOD-04</t>
        </is>
      </c>
      <c r="D9" s="101" t="n"/>
      <c r="E9" s="67" t="inlineStr">
        <is>
          <t>Bloqueado</t>
        </is>
      </c>
      <c r="F9" s="105" t="n">
        <v>0</v>
      </c>
      <c r="G9" s="106" t="n"/>
    </row>
    <row r="10" ht="23" customHeight="1" s="63">
      <c r="A10" s="67" t="inlineStr">
        <is>
          <t>PRO-005</t>
        </is>
      </c>
      <c r="B10" s="67" t="inlineStr">
        <is>
          <t>ALU-001</t>
        </is>
      </c>
      <c r="C10" s="67" t="inlineStr">
        <is>
          <t>MOD-05</t>
        </is>
      </c>
      <c r="D10" s="101" t="n"/>
      <c r="E10" s="67" t="inlineStr">
        <is>
          <t>Bloqueado</t>
        </is>
      </c>
      <c r="F10" s="105" t="n">
        <v>0</v>
      </c>
      <c r="G10" s="106" t="n"/>
    </row>
    <row r="11" ht="23" customHeight="1" s="63"/>
    <row r="12" ht="23" customHeight="1" s="63"/>
    <row r="13" ht="23" customHeight="1" s="63"/>
  </sheetData>
  <conditionalFormatting sqref="F6:F13">
    <cfRule type="dataBar" priority="1">
      <dataBar>
        <cfvo type="min"/>
        <cfvo type="max"/>
        <color rgb="FF5B2F78"/>
      </dataBar>
    </cfRule>
  </conditionalFormatting>
  <dataValidations count="2">
    <dataValidation sqref="E6:E100" showDropDown="0" showInputMessage="0" showErrorMessage="0" allowBlank="0" type="list">
      <formula1>"No iniciado,En curso,Completado,Bloqueado"</formula1>
    </dataValidation>
    <dataValidation sqref="F6:F100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19.21999931335449" customWidth="1" style="63" min="2" max="2"/>
    <col width="6.21999979019165" customWidth="1" style="63" min="3" max="3"/>
    <col width="11" customWidth="1" style="63" min="4" max="4"/>
    <col width="9.109999656677246" customWidth="1" style="63" min="5" max="5"/>
    <col width="9.329999923706055" customWidth="1" style="63" min="6" max="6"/>
    <col width="20.44000053405762" customWidth="1" style="63" min="7" max="7"/>
    <col width="6.21999979019165" customWidth="1" style="63" min="8" max="8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CALENDARIO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Sesiones, aperturas y fechas relevantes del curso.</t>
        </is>
      </c>
      <c r="B3" s="3" t="n"/>
      <c r="C3" s="3" t="n"/>
      <c r="D3" s="3" t="n"/>
      <c r="E3" s="3" t="n"/>
      <c r="F3" s="3" t="n"/>
      <c r="G3" s="3" t="n"/>
      <c r="H3" s="3" t="n"/>
    </row>
    <row r="5" ht="30" customHeight="1" s="63">
      <c r="A5" s="49" t="inlineStr">
        <is>
          <t>ID_EVENTO</t>
        </is>
      </c>
      <c r="B5" s="50" t="inlineStr">
        <is>
          <t>TITULO</t>
        </is>
      </c>
      <c r="C5" s="50" t="inlineStr">
        <is>
          <t>TIPO</t>
        </is>
      </c>
      <c r="D5" s="50" t="inlineStr">
        <is>
          <t>FECHA_INICIO</t>
        </is>
      </c>
      <c r="E5" s="50" t="inlineStr">
        <is>
          <t>FECHA_FIN</t>
        </is>
      </c>
      <c r="F5" s="50" t="inlineStr">
        <is>
          <t>ID_MODULO</t>
        </is>
      </c>
      <c r="G5" s="50" t="inlineStr">
        <is>
          <t>ENLACE</t>
        </is>
      </c>
      <c r="H5" s="51" t="inlineStr">
        <is>
          <t>VISIBLE</t>
        </is>
      </c>
    </row>
    <row r="6" ht="23" customHeight="1" s="63">
      <c r="A6" s="66" t="inlineStr">
        <is>
          <t>EVT-001</t>
        </is>
      </c>
      <c r="B6" s="55" t="inlineStr">
        <is>
          <t>Sesión en directo · Módulo 3</t>
        </is>
      </c>
      <c r="C6" s="66" t="inlineStr">
        <is>
          <t>Sesión</t>
        </is>
      </c>
      <c r="D6" s="104" t="n">
        <v>46289.72916666666</v>
      </c>
      <c r="E6" s="104" t="n">
        <v>46289.79166666666</v>
      </c>
      <c r="F6" s="66" t="inlineStr">
        <is>
          <t>MOD-03</t>
        </is>
      </c>
      <c r="G6" s="55" t="inlineStr">
        <is>
          <t>https://meet.google.com/demo</t>
        </is>
      </c>
      <c r="H6" s="66" t="b">
        <v>1</v>
      </c>
    </row>
    <row r="7" ht="23" customHeight="1" s="63">
      <c r="A7" s="67" t="inlineStr">
        <is>
          <t>EVT-002</t>
        </is>
      </c>
      <c r="B7" s="56" t="inlineStr">
        <is>
          <t>Apertura del módulo 4</t>
        </is>
      </c>
      <c r="C7" s="67" t="inlineStr">
        <is>
          <t>Apertura</t>
        </is>
      </c>
      <c r="D7" s="106" t="n">
        <v>46293.33333333334</v>
      </c>
      <c r="E7" s="106" t="n">
        <v>46293.33680555555</v>
      </c>
      <c r="F7" s="67" t="inlineStr">
        <is>
          <t>MOD-04</t>
        </is>
      </c>
      <c r="G7" s="56" t="str"/>
      <c r="H7" s="67" t="b">
        <v>1</v>
      </c>
    </row>
    <row r="8" ht="23" customHeight="1" s="63">
      <c r="A8" s="67" t="inlineStr">
        <is>
          <t>EVT-003</t>
        </is>
      </c>
      <c r="B8" s="56" t="inlineStr">
        <is>
          <t>Encuentro de seguimiento</t>
        </is>
      </c>
      <c r="C8" s="67" t="inlineStr">
        <is>
          <t>Sesión</t>
        </is>
      </c>
      <c r="D8" s="106" t="n">
        <v>46296.75</v>
      </c>
      <c r="E8" s="106" t="n">
        <v>46296.78125</v>
      </c>
      <c r="F8" s="67" t="inlineStr">
        <is>
          <t>GENERAL</t>
        </is>
      </c>
      <c r="G8" s="56" t="inlineStr">
        <is>
          <t>https://meet.google.com/demo</t>
        </is>
      </c>
      <c r="H8" s="67" t="b">
        <v>1</v>
      </c>
    </row>
    <row r="9" ht="23" customHeight="1" s="63">
      <c r="A9" s="68" t="inlineStr">
        <is>
          <t>EVT-004</t>
        </is>
      </c>
      <c r="B9" s="57" t="inlineStr">
        <is>
          <t>Apertura del módulo 5</t>
        </is>
      </c>
      <c r="C9" s="68" t="inlineStr">
        <is>
          <t>Apertura</t>
        </is>
      </c>
      <c r="D9" s="108" t="n">
        <v>46300.33333333334</v>
      </c>
      <c r="E9" s="108" t="n">
        <v>46300.33680555555</v>
      </c>
      <c r="F9" s="68" t="inlineStr">
        <is>
          <t>MOD-05</t>
        </is>
      </c>
      <c r="G9" s="57" t="str"/>
      <c r="H9" s="68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D46657"/>
    <outlinePr summaryBelow="1" summaryRight="1"/>
    <pageSetUpPr/>
  </sheetPr>
  <dimension ref="A1:Z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17.55999946594238" customWidth="1" style="63" min="2" max="2"/>
    <col width="45.88999938964844" customWidth="1" style="63" min="3" max="3"/>
    <col width="12.5600004196167" customWidth="1" style="63" min="4" max="4"/>
    <col width="8.779999732971191" customWidth="1" style="63" min="5" max="5"/>
    <col width="13.5600004196167" customWidth="1" style="63" min="6" max="6"/>
    <col width="10.77999973297119" customWidth="1" style="63" min="7" max="7"/>
    <col width="9.439999580383301" customWidth="1" style="63" min="8" max="8"/>
    <col width="12.22000026702881" customWidth="1" style="63" min="9" max="9"/>
    <col width="11" customWidth="1" style="63" min="10" max="10"/>
    <col width="24.32999992370605" customWidth="1" style="63" min="11" max="11"/>
    <col width="7" customWidth="1" style="63" min="12" max="12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AVISOS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3" t="inlineStr">
        <is>
          <t>Claude puede crear y actualizar estos avisos siguiendo las instrucciones de Coral.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 ht="30" customHeight="1" s="63">
      <c r="A5" s="49" t="inlineStr">
        <is>
          <t>ID_AVISO</t>
        </is>
      </c>
      <c r="B5" s="50" t="inlineStr">
        <is>
          <t>TITULO</t>
        </is>
      </c>
      <c r="C5" s="50" t="inlineStr">
        <is>
          <t>MENSAJE</t>
        </is>
      </c>
      <c r="D5" s="50" t="inlineStr">
        <is>
          <t>DESTINATARIOS</t>
        </is>
      </c>
      <c r="E5" s="50" t="inlineStr">
        <is>
          <t>PRIORIDAD</t>
        </is>
      </c>
      <c r="F5" s="50" t="inlineStr">
        <is>
          <t>FORMATO</t>
        </is>
      </c>
      <c r="G5" s="50" t="inlineStr">
        <is>
          <t>PUBLICACION</t>
        </is>
      </c>
      <c r="H5" s="50" t="inlineStr">
        <is>
          <t>CADUCIDAD</t>
        </is>
      </c>
      <c r="I5" s="50" t="inlineStr">
        <is>
          <t>CONFIRMACION</t>
        </is>
      </c>
      <c r="J5" s="50" t="inlineStr">
        <is>
          <t>REPETICION</t>
        </is>
      </c>
      <c r="K5" s="50" t="inlineStr">
        <is>
          <t>ENLACE</t>
        </is>
      </c>
      <c r="L5" s="51" t="inlineStr">
        <is>
          <t>ESTADO</t>
        </is>
      </c>
    </row>
    <row r="6" ht="23" customHeight="1" s="63">
      <c r="A6" s="66" t="inlineStr">
        <is>
          <t>AVI-001</t>
        </is>
      </c>
      <c r="B6" s="55" t="inlineStr">
        <is>
          <t>Cambio de horario</t>
        </is>
      </c>
      <c r="C6" s="55" t="inlineStr">
        <is>
          <t>La sesión del jueves 24 comenzará a las 17:30. El enlace no cambia.</t>
        </is>
      </c>
      <c r="D6" s="66" t="inlineStr">
        <is>
          <t>Todos</t>
        </is>
      </c>
      <c r="E6" s="66" t="inlineStr">
        <is>
          <t>Importante</t>
        </is>
      </c>
      <c r="F6" s="66" t="inlineStr">
        <is>
          <t>Ventana emergente</t>
        </is>
      </c>
      <c r="G6" s="104" t="n">
        <v>46286.35416666666</v>
      </c>
      <c r="H6" s="104" t="n">
        <v>46289.83333333334</v>
      </c>
      <c r="I6" s="66" t="inlineStr">
        <is>
          <t>Sí</t>
        </is>
      </c>
      <c r="J6" s="66" t="inlineStr">
        <is>
          <t>Hasta confirmar</t>
        </is>
      </c>
      <c r="K6" s="55" t="str"/>
      <c r="L6" s="66" t="inlineStr">
        <is>
          <t>Publicado</t>
        </is>
      </c>
    </row>
    <row r="7" ht="23" customHeight="1" s="63">
      <c r="A7" s="68" t="inlineStr">
        <is>
          <t>AVI-002</t>
        </is>
      </c>
      <c r="B7" s="57" t="inlineStr">
        <is>
          <t>Nuevo material disponible</t>
        </is>
      </c>
      <c r="C7" s="57" t="inlineStr">
        <is>
          <t>Ya puedes consultar el diario de observación del módulo 3.</t>
        </is>
      </c>
      <c r="D7" s="68" t="inlineStr">
        <is>
          <t>Todos</t>
        </is>
      </c>
      <c r="E7" s="68" t="inlineStr">
        <is>
          <t>Normal</t>
        </is>
      </c>
      <c r="F7" s="68" t="inlineStr">
        <is>
          <t>Inicio</t>
        </is>
      </c>
      <c r="G7" s="108" t="n">
        <v>46285.41666666666</v>
      </c>
      <c r="H7" s="108" t="n">
        <v>46293.99930555555</v>
      </c>
      <c r="I7" s="68" t="inlineStr">
        <is>
          <t>No</t>
        </is>
      </c>
      <c r="J7" s="68" t="inlineStr">
        <is>
          <t>Una vez</t>
        </is>
      </c>
      <c r="K7" s="57" t="inlineStr">
        <is>
          <t>https://drive.google.com/demo/diario</t>
        </is>
      </c>
      <c r="L7" s="68" t="inlineStr">
        <is>
          <t>Publicado</t>
        </is>
      </c>
    </row>
  </sheetData>
  <dataValidations count="3">
    <dataValidation sqref="E6:E100" showDropDown="0" showInputMessage="0" showErrorMessage="0" allowBlank="0" type="list">
      <formula1>"Normal,Importante,Urgente"</formula1>
    </dataValidation>
    <dataValidation sqref="F6:F100" showDropDown="0" showInputMessage="0" showErrorMessage="0" allowBlank="0" type="list">
      <formula1>"Inicio,Ventana emergente"</formula1>
    </dataValidation>
    <dataValidation sqref="L6:L100" showDropDown="0" showInputMessage="0" showErrorMessage="0" allowBlank="0" type="list">
      <formula1>"Borrador,Programado,Publicado,Retirado"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7.440000057220459" customWidth="1" style="63" min="2" max="2"/>
    <col width="9.329999923706055" customWidth="1" style="63" min="3" max="3"/>
    <col width="10.77999973297119" customWidth="1" style="63" min="4" max="4"/>
    <col width="18.11000061035156" customWidth="1" style="63" min="5" max="5"/>
    <col width="6.670000076293945" customWidth="1" style="63" min="6" max="6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LECTURA AVISOS</t>
        </is>
      </c>
      <c r="B2" s="1" t="n"/>
      <c r="C2" s="1" t="n"/>
      <c r="D2" s="1" t="n"/>
      <c r="E2" s="1" t="n"/>
      <c r="F2" s="1" t="n"/>
    </row>
    <row r="3">
      <c r="A3" s="3" t="inlineStr">
        <is>
          <t>Registro de visualización y confirmación individual.</t>
        </is>
      </c>
      <c r="B3" s="3" t="n"/>
      <c r="C3" s="3" t="n"/>
      <c r="D3" s="3" t="n"/>
      <c r="E3" s="3" t="n"/>
      <c r="F3" s="3" t="n"/>
    </row>
    <row r="5" ht="30" customHeight="1" s="63">
      <c r="A5" s="49" t="inlineStr">
        <is>
          <t>ID_LECTURA</t>
        </is>
      </c>
      <c r="B5" s="50" t="inlineStr">
        <is>
          <t>ID_AVISO</t>
        </is>
      </c>
      <c r="C5" s="50" t="inlineStr">
        <is>
          <t>ID_ALUMNO</t>
        </is>
      </c>
      <c r="D5" s="50" t="inlineStr">
        <is>
          <t>FECHA_VISTA</t>
        </is>
      </c>
      <c r="E5" s="50" t="inlineStr">
        <is>
          <t>FECHA_CONFIRMACION</t>
        </is>
      </c>
      <c r="F5" s="51" t="inlineStr">
        <is>
          <t>ESTADO</t>
        </is>
      </c>
    </row>
    <row r="6" ht="23" customHeight="1" s="63">
      <c r="A6" s="65" t="inlineStr">
        <is>
          <t>LECAVI-001</t>
        </is>
      </c>
      <c r="B6" s="65" t="inlineStr">
        <is>
          <t>AVI-002</t>
        </is>
      </c>
      <c r="C6" s="65" t="inlineStr">
        <is>
          <t>ALU-001</t>
        </is>
      </c>
      <c r="D6" s="99" t="n">
        <v>46285.42638888889</v>
      </c>
      <c r="E6" s="99" t="n"/>
      <c r="F6" s="65" t="inlineStr">
        <is>
          <t>Visto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D46657"/>
    <outlinePr summaryBelow="1" summaryRight="1"/>
    <pageSetUpPr/>
  </sheetPr>
  <dimension ref="A1:Z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9.329999923706055" customWidth="1" style="63" min="2" max="2"/>
    <col width="15.5600004196167" customWidth="1" style="63" min="3" max="3"/>
    <col width="9.109999656677246" customWidth="1" style="63" min="4" max="4"/>
    <col width="8.220000267028809" customWidth="1" style="63" min="5" max="5"/>
    <col width="7.440000057220459" customWidth="1" style="63" min="6" max="6"/>
    <col width="10.10999965667725" customWidth="1" style="63" min="7" max="7"/>
    <col width="5.21999979019165" customWidth="1" style="63" min="8" max="8"/>
    <col width="9.890000343322754" customWidth="1" style="63" min="9" max="9"/>
    <col width="7.78000020980835" customWidth="1" style="63" min="10" max="10"/>
    <col width="13.89000034332275" customWidth="1" style="63" min="11" max="11"/>
    <col width="15.5600004196167" customWidth="1" style="63" min="12" max="12"/>
    <col width="23.32999992370605" customWidth="1" style="63" min="13" max="13"/>
    <col width="10.67000007629395" customWidth="1" style="63" min="14" max="14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EVALUACIONES MODULOS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Respuestas confidenciales. El token evita duplicados sin mostrar el nombre a Coral.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30" customHeight="1" s="63">
      <c r="A5" s="49" t="inlineStr">
        <is>
          <t>ID_EVALUACION</t>
        </is>
      </c>
      <c r="B5" s="50" t="inlineStr">
        <is>
          <t>ID_MODULO</t>
        </is>
      </c>
      <c r="C5" s="50" t="inlineStr">
        <is>
          <t>TOKEN_RESPUESTA</t>
        </is>
      </c>
      <c r="D5" s="50" t="inlineStr">
        <is>
          <t>FECHA</t>
        </is>
      </c>
      <c r="E5" s="50" t="inlineStr">
        <is>
          <t>CLARIDAD</t>
        </is>
      </c>
      <c r="F5" s="50" t="inlineStr">
        <is>
          <t>UTILIDAD</t>
        </is>
      </c>
      <c r="G5" s="50" t="inlineStr">
        <is>
          <t>MATERIALES</t>
        </is>
      </c>
      <c r="H5" s="50" t="inlineStr">
        <is>
          <t>RITMO</t>
        </is>
      </c>
      <c r="I5" s="50" t="inlineStr">
        <is>
          <t>PROFESORA</t>
        </is>
      </c>
      <c r="J5" s="50" t="inlineStr">
        <is>
          <t>GENERAL</t>
        </is>
      </c>
      <c r="K5" s="50" t="inlineStr">
        <is>
          <t>RECOMENDACION</t>
        </is>
      </c>
      <c r="L5" s="50" t="inlineStr">
        <is>
          <t>MAS_UTIL</t>
        </is>
      </c>
      <c r="M5" s="50" t="inlineStr">
        <is>
          <t>MEJORAS</t>
        </is>
      </c>
      <c r="N5" s="51" t="inlineStr">
        <is>
          <t>COMENTARIO</t>
        </is>
      </c>
    </row>
    <row r="6" ht="23" customHeight="1" s="63">
      <c r="A6" s="65" t="inlineStr">
        <is>
          <t>EVA-001</t>
        </is>
      </c>
      <c r="B6" s="65" t="inlineStr">
        <is>
          <t>MOD-01</t>
        </is>
      </c>
      <c r="C6" s="65" t="inlineStr">
        <is>
          <t>tok_demo_8f2a</t>
        </is>
      </c>
      <c r="D6" s="99" t="n">
        <v>46277.76388888889</v>
      </c>
      <c r="E6" s="65" t="n">
        <v>5</v>
      </c>
      <c r="F6" s="65" t="n">
        <v>5</v>
      </c>
      <c r="G6" s="65" t="n">
        <v>4</v>
      </c>
      <c r="H6" s="65" t="n">
        <v>4</v>
      </c>
      <c r="I6" s="65" t="n">
        <v>5</v>
      </c>
      <c r="J6" s="65" t="n">
        <v>5</v>
      </c>
      <c r="K6" s="65" t="n">
        <v>9</v>
      </c>
      <c r="L6" s="69" t="inlineStr">
        <is>
          <t>Los ejemplos prácticos</t>
        </is>
      </c>
      <c r="M6" s="69" t="inlineStr">
        <is>
          <t>Añadir una actividad breve al inicio</t>
        </is>
      </c>
      <c r="N6" s="69" t="str"/>
    </row>
  </sheetData>
  <dataValidations count="7">
    <dataValidation sqref="E6:E100" showDropDown="0" showInputMessage="0" showErrorMessage="0" allowBlank="0" type="whole" operator="between">
      <formula1>1</formula1>
      <formula2>5</formula2>
    </dataValidation>
    <dataValidation sqref="F6:F100" showDropDown="0" showInputMessage="0" showErrorMessage="0" allowBlank="0" type="whole" operator="between">
      <formula1>1</formula1>
      <formula2>5</formula2>
    </dataValidation>
    <dataValidation sqref="G6:G100" showDropDown="0" showInputMessage="0" showErrorMessage="0" allowBlank="0" type="whole" operator="between">
      <formula1>1</formula1>
      <formula2>5</formula2>
    </dataValidation>
    <dataValidation sqref="H6:H100" showDropDown="0" showInputMessage="0" showErrorMessage="0" allowBlank="0" type="whole" operator="between">
      <formula1>1</formula1>
      <formula2>5</formula2>
    </dataValidation>
    <dataValidation sqref="I6:I100" showDropDown="0" showInputMessage="0" showErrorMessage="0" allowBlank="0" type="whole" operator="between">
      <formula1>1</formula1>
      <formula2>5</formula2>
    </dataValidation>
    <dataValidation sqref="J6:J100" showDropDown="0" showInputMessage="0" showErrorMessage="0" allowBlank="0" type="whole" operator="between">
      <formula1>1</formula1>
      <formula2>5</formula2>
    </dataValidation>
    <dataValidation sqref="K6:K100" showDropDown="0" showInputMessage="0" showErrorMessage="0" allowBlank="0" type="whole" operator="between">
      <formula1>0</formula1>
      <formula2>10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7.889999866485596" customWidth="1" style="63" min="2" max="2"/>
    <col width="9.329999923706055" customWidth="1" style="63" min="3" max="3"/>
    <col width="5.559999942779541" customWidth="1" style="63" min="4" max="4"/>
    <col width="7.21999979019165" customWidth="1" style="63" min="5" max="5"/>
    <col width="14.22000026702881" customWidth="1" style="63" min="6" max="6"/>
    <col width="10.67000007629395" customWidth="1" style="63" min="7" max="7"/>
    <col width="7.21999979019165" customWidth="1" style="63" min="8" max="8"/>
    <col width="7.110000133514404" customWidth="1" style="63" min="9" max="9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ENTREGAS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3" t="inlineStr">
        <is>
          <t>Estructura reservada. El flujo de entregas se definirá más adelante.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5" ht="30" customHeight="1" s="63">
      <c r="A5" s="49" t="inlineStr">
        <is>
          <t>ID_ENTREGA</t>
        </is>
      </c>
      <c r="B5" s="50" t="inlineStr">
        <is>
          <t>ID_TAREA</t>
        </is>
      </c>
      <c r="C5" s="50" t="inlineStr">
        <is>
          <t>ID_ALUMNO</t>
        </is>
      </c>
      <c r="D5" s="50" t="inlineStr">
        <is>
          <t>FECHA</t>
        </is>
      </c>
      <c r="E5" s="50" t="inlineStr">
        <is>
          <t>TIPO</t>
        </is>
      </c>
      <c r="F5" s="50" t="inlineStr">
        <is>
          <t>ENLACE_ARCHIVO</t>
        </is>
      </c>
      <c r="G5" s="50" t="inlineStr">
        <is>
          <t>COMENTARIO</t>
        </is>
      </c>
      <c r="H5" s="50" t="inlineStr">
        <is>
          <t>ESTADO</t>
        </is>
      </c>
      <c r="I5" s="51" t="inlineStr">
        <is>
          <t>VERSION</t>
        </is>
      </c>
    </row>
    <row r="6" ht="23" customHeight="1" s="63">
      <c r="A6" s="65" t="inlineStr">
        <is>
          <t>DEMO-PENDIENTE</t>
        </is>
      </c>
      <c r="B6" s="65" t="inlineStr">
        <is>
          <t>TAR-001</t>
        </is>
      </c>
      <c r="C6" s="65" t="inlineStr">
        <is>
          <t>ALU-001</t>
        </is>
      </c>
      <c r="D6" s="99" t="n"/>
      <c r="E6" s="65" t="inlineStr">
        <is>
          <t>Por definir</t>
        </is>
      </c>
      <c r="F6" s="69" t="str"/>
      <c r="G6" s="69" t="str"/>
      <c r="H6" s="65" t="inlineStr">
        <is>
          <t>Pendiente</t>
        </is>
      </c>
      <c r="I6" s="6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9.329999923706055" customWidth="1" style="63" min="2" max="2"/>
    <col width="10.89000034332275" customWidth="1" style="63" min="3" max="3"/>
    <col width="10.32999992370605" customWidth="1" style="63" min="4" max="4"/>
    <col width="11.5600004196167" customWidth="1" style="63" min="5" max="5"/>
    <col width="6.110000133514404" customWidth="1" style="63" min="6" max="6"/>
    <col width="18.32999992370605" customWidth="1" style="63" min="7" max="7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DISPOSITIVOS PUSH</t>
        </is>
      </c>
      <c r="B2" s="1" t="n"/>
      <c r="C2" s="1" t="n"/>
      <c r="D2" s="1" t="n"/>
      <c r="E2" s="1" t="n"/>
      <c r="F2" s="1" t="n"/>
      <c r="G2" s="1" t="n"/>
    </row>
    <row r="3">
      <c r="A3" s="3" t="inlineStr">
        <is>
          <t>Suscripciones de notificaciones. Los tokens reales no deben mostrarse en la intranet.</t>
        </is>
      </c>
      <c r="B3" s="3" t="n"/>
      <c r="C3" s="3" t="n"/>
      <c r="D3" s="3" t="n"/>
      <c r="E3" s="3" t="n"/>
      <c r="F3" s="3" t="n"/>
      <c r="G3" s="3" t="n"/>
    </row>
    <row r="5" ht="30" customHeight="1" s="63">
      <c r="A5" s="49" t="inlineStr">
        <is>
          <t>ID_DISPOSITIVO</t>
        </is>
      </c>
      <c r="B5" s="50" t="inlineStr">
        <is>
          <t>ID_ALUMNO</t>
        </is>
      </c>
      <c r="C5" s="50" t="inlineStr">
        <is>
          <t>PLATAFORMA</t>
        </is>
      </c>
      <c r="D5" s="50" t="inlineStr">
        <is>
          <t>FECHA_ALTA</t>
        </is>
      </c>
      <c r="E5" s="50" t="inlineStr">
        <is>
          <t>ULTIMO_ENVIO</t>
        </is>
      </c>
      <c r="F5" s="50" t="inlineStr">
        <is>
          <t>ACTIVO</t>
        </is>
      </c>
      <c r="G5" s="51" t="inlineStr">
        <is>
          <t>TOKEN_DEMO</t>
        </is>
      </c>
    </row>
    <row r="6" ht="23" customHeight="1" s="63">
      <c r="A6" s="65" t="inlineStr">
        <is>
          <t>DSP-001</t>
        </is>
      </c>
      <c r="B6" s="65" t="inlineStr">
        <is>
          <t>ALU-001</t>
        </is>
      </c>
      <c r="C6" s="65" t="inlineStr">
        <is>
          <t>iOS · PWA</t>
        </is>
      </c>
      <c r="D6" s="99" t="n">
        <v>46286.38888888889</v>
      </c>
      <c r="E6" s="99" t="n"/>
      <c r="F6" s="65" t="b">
        <v>0</v>
      </c>
      <c r="G6" s="65" t="inlineStr">
        <is>
          <t>pendiente_de_autorizacion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9.109999656677246" customWidth="1" style="63" min="2" max="2"/>
    <col width="15.67000007629395" customWidth="1" style="63" min="3" max="3"/>
    <col width="26.55999946594238" customWidth="1" style="63" min="4" max="4"/>
    <col width="19.55999946594238" customWidth="1" style="63" min="5" max="5"/>
    <col width="9.670000076293945" customWidth="1" style="63" min="6" max="6"/>
  </cols>
  <sheetData>
    <row r="1">
      <c r="A1" s="64" t="n"/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2" t="inlineStr">
        <is>
          <t>REGISTRO CAMBIOS</t>
        </is>
      </c>
      <c r="B2" s="1" t="n"/>
      <c r="C2" s="1" t="n"/>
      <c r="D2" s="1" t="n"/>
      <c r="E2" s="1" t="n"/>
      <c r="F2" s="1" t="n"/>
    </row>
    <row r="3">
      <c r="A3" s="3" t="inlineStr">
        <is>
          <t>Historial de acciones realizadas por Coral, Claude o la intranet.</t>
        </is>
      </c>
      <c r="B3" s="3" t="n"/>
      <c r="C3" s="3" t="n"/>
      <c r="D3" s="3" t="n"/>
      <c r="E3" s="3" t="n"/>
      <c r="F3" s="3" t="n"/>
    </row>
    <row r="5" ht="30" customHeight="1" s="63">
      <c r="A5" s="49" t="inlineStr">
        <is>
          <t>ID_CAMBIO</t>
        </is>
      </c>
      <c r="B5" s="50" t="inlineStr">
        <is>
          <t>FECHA</t>
        </is>
      </c>
      <c r="C5" s="50" t="inlineStr">
        <is>
          <t>ACTOR</t>
        </is>
      </c>
      <c r="D5" s="50" t="inlineStr">
        <is>
          <t>INSTRUCCION</t>
        </is>
      </c>
      <c r="E5" s="50" t="inlineStr">
        <is>
          <t>ACCION</t>
        </is>
      </c>
      <c r="F5" s="51" t="inlineStr">
        <is>
          <t>RESULTADO</t>
        </is>
      </c>
    </row>
    <row r="6" ht="23" customHeight="1" s="63">
      <c r="A6" s="66" t="inlineStr">
        <is>
          <t>CAM-001</t>
        </is>
      </c>
      <c r="B6" s="104" t="n">
        <v>46286.35416666666</v>
      </c>
      <c r="C6" s="66" t="inlineStr">
        <is>
          <t>Coral mediante Claude</t>
        </is>
      </c>
      <c r="D6" s="55" t="inlineStr">
        <is>
          <t>Publica el cambio de horario para todos</t>
        </is>
      </c>
      <c r="E6" s="55" t="inlineStr">
        <is>
          <t>Creación de AVI-001</t>
        </is>
      </c>
      <c r="F6" s="66" t="inlineStr">
        <is>
          <t>Correcto</t>
        </is>
      </c>
    </row>
    <row r="7" ht="23" customHeight="1" s="63">
      <c r="A7" s="68" t="inlineStr">
        <is>
          <t>CAM-002</t>
        </is>
      </c>
      <c r="B7" s="108" t="n">
        <v>46286.38333333333</v>
      </c>
      <c r="C7" s="68" t="inlineStr">
        <is>
          <t>Intranet</t>
        </is>
      </c>
      <c r="D7" s="57" t="inlineStr">
        <is>
          <t>Actualizar progreso del módulo 3</t>
        </is>
      </c>
      <c r="E7" s="57" t="inlineStr">
        <is>
          <t>PRO-003 actualizado al 60%</t>
        </is>
      </c>
      <c r="F7" s="68" t="inlineStr">
        <is>
          <t>Correcto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D46657"/>
    <outlinePr summaryBelow="1" summaryRight="1"/>
    <pageSetUpPr/>
  </sheetPr>
  <dimension ref="A2:H7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style="63" min="1" max="1"/>
    <col width="9.329999923706055" customWidth="1" style="63" min="2" max="2"/>
    <col width="7.889999866485596" customWidth="1" style="63" min="3" max="3"/>
    <col width="9.329999923706055" customWidth="1" style="63" min="4" max="4"/>
    <col width="38" customWidth="1" style="63" min="5" max="5"/>
    <col width="18.21999931335449" customWidth="1" style="63" min="6" max="6"/>
    <col width="8.779999732971191" customWidth="1" style="63" min="7" max="7"/>
    <col width="6.329999923706055" customWidth="1" style="63" min="8" max="8"/>
  </cols>
  <sheetData>
    <row r="2">
      <c r="A2" s="2" t="inlineStr">
        <is>
          <t>ASISTENCIA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Incidencias y no asistencias comunicadas por el alumnado desde el calendario.</t>
        </is>
      </c>
      <c r="B3" s="3" t="n"/>
      <c r="C3" s="3" t="n"/>
      <c r="D3" s="3" t="n"/>
      <c r="E3" s="3" t="n"/>
      <c r="F3" s="3" t="n"/>
      <c r="G3" s="3" t="n"/>
      <c r="H3" s="3" t="n"/>
    </row>
    <row r="5" ht="30" customHeight="1" s="63">
      <c r="A5" s="87" t="inlineStr">
        <is>
          <t>ID_REGISTRO</t>
        </is>
      </c>
      <c r="B5" s="88" t="inlineStr">
        <is>
          <t>ID_ALUMNO</t>
        </is>
      </c>
      <c r="C5" s="88" t="inlineStr">
        <is>
          <t>FECHA</t>
        </is>
      </c>
      <c r="D5" s="88" t="inlineStr">
        <is>
          <t>TIPO</t>
        </is>
      </c>
      <c r="E5" s="88" t="inlineStr">
        <is>
          <t>DETALLE</t>
        </is>
      </c>
      <c r="F5" s="88" t="inlineStr">
        <is>
          <t>FECHA_COMUNICACION</t>
        </is>
      </c>
      <c r="G5" s="88" t="inlineStr">
        <is>
          <t>ESTADO</t>
        </is>
      </c>
      <c r="H5" s="89" t="inlineStr">
        <is>
          <t>ORIGEN</t>
        </is>
      </c>
    </row>
    <row r="6" ht="25" customHeight="1" s="63">
      <c r="A6" s="66" t="inlineStr">
        <is>
          <t>ASI-001</t>
        </is>
      </c>
      <c r="B6" s="66" t="inlineStr">
        <is>
          <t>ALU-001</t>
        </is>
      </c>
      <c r="C6" s="100" t="n">
        <v>46290</v>
      </c>
      <c r="D6" s="66" t="inlineStr">
        <is>
          <t>No asistencia</t>
        </is>
      </c>
      <c r="E6" s="55" t="inlineStr">
        <is>
          <t>Consulta médica programada.</t>
        </is>
      </c>
      <c r="F6" s="104" t="n">
        <v>46287.58333333334</v>
      </c>
      <c r="G6" s="66" t="inlineStr">
        <is>
          <t>Comunicada</t>
        </is>
      </c>
      <c r="H6" s="66" t="inlineStr">
        <is>
          <t>Intranet</t>
        </is>
      </c>
    </row>
    <row r="7" ht="25" customHeight="1" s="63">
      <c r="A7" s="68" t="inlineStr">
        <is>
          <t>ASI-002</t>
        </is>
      </c>
      <c r="B7" s="68" t="inlineStr">
        <is>
          <t>ALU-001</t>
        </is>
      </c>
      <c r="C7" s="102" t="n">
        <v>46296</v>
      </c>
      <c r="D7" s="68" t="inlineStr">
        <is>
          <t>Incidencia</t>
        </is>
      </c>
      <c r="E7" s="57" t="inlineStr">
        <is>
          <t>Llegaré unos veinte minutos tarde.</t>
        </is>
      </c>
      <c r="F7" s="108" t="n">
        <v>46287.58680555555</v>
      </c>
      <c r="G7" s="68" t="inlineStr">
        <is>
          <t>Comunicada</t>
        </is>
      </c>
      <c r="H7" s="68" t="inlineStr">
        <is>
          <t>Intranet</t>
        </is>
      </c>
    </row>
  </sheetData>
  <dataValidations count="2">
    <dataValidation sqref="D6:D200" showDropDown="0" showInputMessage="0" showErrorMessage="0" allowBlank="0" type="list">
      <formula1>"Incidencia,No asistencia"</formula1>
    </dataValidation>
    <dataValidation sqref="G6:G200" showDropDown="0" showInputMessage="0" showErrorMessage="0" allowBlank="0" type="list">
      <formula1>"Comunicada,Revisada,Anulada"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2026-09-22T14:20:20Z</dcterms:created>
  <dcterms:modified xmlns:dcterms="http://purl.org/dc/terms/" xmlns:xsi="http://www.w3.org/2001/XMLSchema-instance" xsi:type="dcterms:W3CDTF">2026-09-22T14:36:45Z</dcterms:modified>
</cp:coreProperties>
</file>